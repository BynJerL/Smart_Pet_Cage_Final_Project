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sil Pengujian Suhu" sheetId="1" r:id="rId5"/>
    <sheet state="visible" name="Hasil Pengujian Kelembaban" sheetId="2" r:id="rId6"/>
    <sheet state="visible" name="Hasil Okupansi Wadah Pakan (Per" sheetId="3" r:id="rId7"/>
    <sheet state="visible" name="Hasil Pengujian Pengiriman ke C" sheetId="4" r:id="rId8"/>
    <sheet state="visible" name="Hasil Pengujian Sistem Schedule" sheetId="5" r:id="rId9"/>
    <sheet state="visible" name="Hasil Pengujian Alert" sheetId="6" r:id="rId10"/>
    <sheet state="visible" name="Tambahan" sheetId="7" r:id="rId11"/>
  </sheets>
  <definedNames/>
  <calcPr/>
</workbook>
</file>

<file path=xl/sharedStrings.xml><?xml version="1.0" encoding="utf-8"?>
<sst xmlns="http://schemas.openxmlformats.org/spreadsheetml/2006/main" count="333" uniqueCount="99">
  <si>
    <t>Waktu</t>
  </si>
  <si>
    <t>Pengukuran Ke</t>
  </si>
  <si>
    <t xml:space="preserve">AHT20 (°C) </t>
  </si>
  <si>
    <t xml:space="preserve">AHT20 (%RH) </t>
  </si>
  <si>
    <t>Jarak aktual (cm)</t>
  </si>
  <si>
    <t>Data Uji yang dikirimkan dari ESP32-S3 ke Cloud</t>
  </si>
  <si>
    <t xml:space="preserve">FY-12 (°C) </t>
  </si>
  <si>
    <t xml:space="preserve">FY-12 (%RH) </t>
  </si>
  <si>
    <t>Jarak terbaca (cm)</t>
  </si>
  <si>
    <t xml:space="preserve">Analog (°C) </t>
  </si>
  <si>
    <t>Delta</t>
  </si>
  <si>
    <t xml:space="preserve">Analog (%RH) </t>
  </si>
  <si>
    <t>Absolute Error AHT20 dan FY-12</t>
  </si>
  <si>
    <t>Absolute Error</t>
  </si>
  <si>
    <t>Selisih AHT20 dan FY-12</t>
  </si>
  <si>
    <t>Absolute Error AHT20 dan Analog</t>
  </si>
  <si>
    <t>Relative Error</t>
  </si>
  <si>
    <t>Pengujian sistem cloud</t>
  </si>
  <si>
    <t>Selisih AHT20 dan Analog</t>
  </si>
  <si>
    <t>Squared Error</t>
  </si>
  <si>
    <t>Delta AHT &amp; FY</t>
  </si>
  <si>
    <t>x * y</t>
  </si>
  <si>
    <t>y²</t>
  </si>
  <si>
    <t>Delta AHT &amp; Analog</t>
  </si>
  <si>
    <t xml:space="preserve">Suhu (°C) </t>
  </si>
  <si>
    <t>x²</t>
  </si>
  <si>
    <t>Relative Error AHT FY</t>
  </si>
  <si>
    <t>y_i - y_</t>
  </si>
  <si>
    <t>Relative Error AHT Analog</t>
  </si>
  <si>
    <t>x_i - x_</t>
  </si>
  <si>
    <t>Squared Delta AHT FY</t>
  </si>
  <si>
    <t xml:space="preserve">Kelembaban (%RH) </t>
  </si>
  <si>
    <t xml:space="preserve">(x_i - x_)*(y_i - y_) </t>
  </si>
  <si>
    <t>Squared Delta AHT Analog</t>
  </si>
  <si>
    <t>(y_i - y_) ²</t>
  </si>
  <si>
    <t>(x_i - x_) ²</t>
  </si>
  <si>
    <t>Percobaan Ke-</t>
  </si>
  <si>
    <t>z_i - z_</t>
  </si>
  <si>
    <t>(x_i - x_) * (y_i - y_)</t>
  </si>
  <si>
    <t>(x_i - x_) * (z_i - z_)</t>
  </si>
  <si>
    <t>(x_i - x_)^2</t>
  </si>
  <si>
    <t>Data Terkirim</t>
  </si>
  <si>
    <t>(y_i - y_)^2</t>
  </si>
  <si>
    <t>(z_i - z_)^2</t>
  </si>
  <si>
    <t>Status Kirim</t>
  </si>
  <si>
    <t>Data Terbaca</t>
  </si>
  <si>
    <t>Status Baca</t>
  </si>
  <si>
    <t>Sesuai</t>
  </si>
  <si>
    <t>Berhasil</t>
  </si>
  <si>
    <t>Ya</t>
  </si>
  <si>
    <t>Send Success Count</t>
  </si>
  <si>
    <t>Read Success Count</t>
  </si>
  <si>
    <t>Valid Data Count</t>
  </si>
  <si>
    <t>Send Success Rate</t>
  </si>
  <si>
    <t>Read Success Rate</t>
  </si>
  <si>
    <t>Valid Data Rate</t>
  </si>
  <si>
    <t>MAE AHT FY</t>
  </si>
  <si>
    <t>MAE AHT Analog</t>
  </si>
  <si>
    <t>Correlation 1</t>
  </si>
  <si>
    <t>MRE AHT FY</t>
  </si>
  <si>
    <t>Correlation 2</t>
  </si>
  <si>
    <t>MRE AHT Analog</t>
  </si>
  <si>
    <t>MSE AHT FY</t>
  </si>
  <si>
    <t>MSE AHT Analog</t>
  </si>
  <si>
    <t>RMSE AHT FY</t>
  </si>
  <si>
    <t>RMSE AHT Analog</t>
  </si>
  <si>
    <t>Percobaan Ke</t>
  </si>
  <si>
    <t>Jadwal</t>
  </si>
  <si>
    <t>Eksekusi</t>
  </si>
  <si>
    <t>Status</t>
  </si>
  <si>
    <t xml:space="preserve">Selisih waktu dengan target (detik) </t>
  </si>
  <si>
    <t>AVG AHT</t>
  </si>
  <si>
    <t>Success</t>
  </si>
  <si>
    <t>AVG FY</t>
  </si>
  <si>
    <t>AVG Analog</t>
  </si>
  <si>
    <t>Total Success</t>
  </si>
  <si>
    <t>Total Fail</t>
  </si>
  <si>
    <t>Success Rate</t>
  </si>
  <si>
    <t>*Note: Jadwal disetel menggunakan aplikasi mobile</t>
  </si>
  <si>
    <t>Uji Alert Temperatur Tinggi</t>
  </si>
  <si>
    <t>Uji Alert Temperatur Rendah</t>
  </si>
  <si>
    <t>Uji Alert Kelembaban Tinggi</t>
  </si>
  <si>
    <t>Temperatur (°C)</t>
  </si>
  <si>
    <t>Peringatan Suhu Tinggi</t>
  </si>
  <si>
    <t xml:space="preserve">Peringatan Suhu Rendah </t>
  </si>
  <si>
    <t>Kelembaban (%)</t>
  </si>
  <si>
    <t>Peringatan Kelembaban Tinggi</t>
  </si>
  <si>
    <t>x</t>
  </si>
  <si>
    <t>v</t>
  </si>
  <si>
    <t>Total Sesuai</t>
  </si>
  <si>
    <t>Model Suara</t>
  </si>
  <si>
    <t>https://studio.edgeimpulse.com/public/797099/live</t>
  </si>
  <si>
    <t>MAE</t>
  </si>
  <si>
    <t>y_</t>
  </si>
  <si>
    <t>MRE</t>
  </si>
  <si>
    <t>x_</t>
  </si>
  <si>
    <t>MSE</t>
  </si>
  <si>
    <t>RMSE</t>
  </si>
  <si>
    <t>Correlation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</si>
</sst>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/>
    <font>
      <i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</fills>
  <borders count="3">
    <border/>
    <border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center" readingOrder="0" vertical="top"/>
    </xf>
    <xf borderId="0" fillId="0" fontId="4" numFmtId="0" xfId="0" applyAlignment="1" applyFont="1">
      <alignment vertical="bottom"/>
    </xf>
    <xf borderId="0" fillId="0" fontId="4" numFmtId="20" xfId="0" applyAlignment="1" applyFont="1" applyNumberFormat="1">
      <alignment horizontal="right" vertical="bottom"/>
    </xf>
    <xf borderId="1" fillId="0" fontId="5" numFmtId="0" xfId="0" applyBorder="1" applyFont="1"/>
    <xf borderId="1" fillId="0" fontId="3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/>
    </xf>
    <xf borderId="0" fillId="0" fontId="4" numFmtId="10" xfId="0" applyAlignment="1" applyFont="1" applyNumberFormat="1">
      <alignment horizontal="right" vertical="bottom"/>
    </xf>
    <xf borderId="0" fillId="0" fontId="2" numFmtId="0" xfId="0" applyFont="1"/>
    <xf borderId="0" fillId="2" fontId="4" numFmtId="20" xfId="0" applyAlignment="1" applyFill="1" applyFont="1" applyNumberFormat="1">
      <alignment horizontal="right" vertical="bottom"/>
    </xf>
    <xf borderId="0" fillId="2" fontId="4" numFmtId="0" xfId="0" applyAlignment="1" applyFill="1" applyFont="1">
      <alignment horizontal="right" vertical="bottom"/>
    </xf>
    <xf borderId="0" fillId="0" fontId="2" numFmtId="10" xfId="0" applyFont="1" applyNumberFormat="1"/>
    <xf borderId="0" fillId="3" fontId="4" numFmtId="20" xfId="0" applyAlignment="1" applyFill="1" applyFont="1" applyNumberFormat="1">
      <alignment horizontal="right" vertical="bottom"/>
    </xf>
    <xf borderId="0" fillId="3" fontId="4" numFmtId="0" xfId="0" applyAlignment="1" applyFill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21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3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left"/>
    </xf>
    <xf borderId="0" fillId="4" fontId="4" numFmtId="0" xfId="0" applyAlignment="1" applyFill="1" applyFont="1">
      <alignment horizontal="right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tudio.edgeimpulse.com/public/797099/live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  <c r="C1" s="3" t="s">
        <v>6</v>
      </c>
      <c r="D1" s="3" t="s">
        <v>9</v>
      </c>
      <c r="E1" s="3" t="s">
        <v>12</v>
      </c>
      <c r="F1" s="3" t="s">
        <v>15</v>
      </c>
      <c r="G1" s="5" t="s">
        <v>20</v>
      </c>
      <c r="H1" s="5" t="s">
        <v>23</v>
      </c>
      <c r="I1" s="5" t="s">
        <v>26</v>
      </c>
      <c r="J1" s="5" t="s">
        <v>28</v>
      </c>
      <c r="K1" s="5" t="s">
        <v>30</v>
      </c>
      <c r="L1" s="5" t="s">
        <v>33</v>
      </c>
      <c r="M1" s="2" t="s">
        <v>29</v>
      </c>
      <c r="N1" s="2" t="s">
        <v>27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42</v>
      </c>
      <c r="T1" s="2" t="s">
        <v>43</v>
      </c>
      <c r="U1" s="10"/>
    </row>
    <row r="2">
      <c r="A2" s="11">
        <v>0.4027777777777778</v>
      </c>
      <c r="B2" s="8">
        <v>28.87</v>
      </c>
      <c r="C2" s="8">
        <v>28.7</v>
      </c>
      <c r="D2" s="8">
        <v>28.0</v>
      </c>
      <c r="E2" s="8">
        <f t="shared" ref="E2:E14" si="4">ABS(B2-C2)</f>
        <v>0.17</v>
      </c>
      <c r="F2" s="8">
        <f t="shared" ref="F2:F14" si="5">ABS(B2-D2)</f>
        <v>0.87</v>
      </c>
      <c r="G2" s="8">
        <f t="shared" ref="G2:G14" si="6">B2-C2</f>
        <v>0.17</v>
      </c>
      <c r="H2" s="8">
        <f t="shared" ref="H2:H14" si="7">B2-D2</f>
        <v>0.87</v>
      </c>
      <c r="I2" s="15">
        <f t="shared" ref="I2:J2" si="1">E2/C2</f>
        <v>0.005923344948</v>
      </c>
      <c r="J2" s="15">
        <f t="shared" si="1"/>
        <v>0.03107142857</v>
      </c>
      <c r="K2" s="8">
        <f t="shared" ref="K2:L2" si="2">G2^2</f>
        <v>0.0289</v>
      </c>
      <c r="L2" s="8">
        <f t="shared" si="2"/>
        <v>0.7569</v>
      </c>
      <c r="M2" s="8">
        <f t="shared" ref="M2:M14" si="10">B2-$B$29</f>
        <v>1.417692308</v>
      </c>
      <c r="N2" s="8">
        <f t="shared" ref="N2:N14" si="11">C2-$B$30</f>
        <v>1.069230769</v>
      </c>
      <c r="O2" s="8">
        <f t="shared" ref="O2:O14" si="12">D2-$B$31</f>
        <v>1.461538462</v>
      </c>
      <c r="P2" s="8">
        <f t="shared" ref="P2:P14" si="13">M2*N2</f>
        <v>1.515840237</v>
      </c>
      <c r="Q2" s="8">
        <f t="shared" ref="Q2:Q14" si="14">M2*O2</f>
        <v>2.072011834</v>
      </c>
      <c r="R2" s="8">
        <f t="shared" ref="R2:T2" si="3">M2^2</f>
        <v>2.009851479</v>
      </c>
      <c r="S2" s="8">
        <f t="shared" si="3"/>
        <v>1.143254438</v>
      </c>
      <c r="T2" s="8">
        <f t="shared" si="3"/>
        <v>2.136094675</v>
      </c>
      <c r="U2" s="10"/>
    </row>
    <row r="3">
      <c r="A3" s="11">
        <v>0.4097222222222222</v>
      </c>
      <c r="B3" s="8">
        <v>29.03</v>
      </c>
      <c r="C3" s="8">
        <v>28.8</v>
      </c>
      <c r="D3" s="8">
        <v>28.5</v>
      </c>
      <c r="E3" s="8">
        <f t="shared" si="4"/>
        <v>0.23</v>
      </c>
      <c r="F3" s="8">
        <f t="shared" si="5"/>
        <v>0.53</v>
      </c>
      <c r="G3" s="8">
        <f t="shared" si="6"/>
        <v>0.23</v>
      </c>
      <c r="H3" s="8">
        <f t="shared" si="7"/>
        <v>0.53</v>
      </c>
      <c r="I3" s="15">
        <f t="shared" ref="I3:J3" si="8">E3/C3</f>
        <v>0.007986111111</v>
      </c>
      <c r="J3" s="15">
        <f t="shared" si="8"/>
        <v>0.01859649123</v>
      </c>
      <c r="K3" s="8">
        <f t="shared" ref="K3:L3" si="9">G3^2</f>
        <v>0.0529</v>
      </c>
      <c r="L3" s="8">
        <f t="shared" si="9"/>
        <v>0.2809</v>
      </c>
      <c r="M3" s="8">
        <f t="shared" si="10"/>
        <v>1.577692308</v>
      </c>
      <c r="N3" s="8">
        <f t="shared" si="11"/>
        <v>1.169230769</v>
      </c>
      <c r="O3" s="8">
        <f t="shared" si="12"/>
        <v>1.961538462</v>
      </c>
      <c r="P3" s="8">
        <f t="shared" si="13"/>
        <v>1.844686391</v>
      </c>
      <c r="Q3" s="8">
        <f t="shared" si="14"/>
        <v>3.094704142</v>
      </c>
      <c r="R3" s="8">
        <f t="shared" ref="R3:T3" si="15">M3^2</f>
        <v>2.489113018</v>
      </c>
      <c r="S3" s="8">
        <f t="shared" si="15"/>
        <v>1.367100592</v>
      </c>
      <c r="T3" s="8">
        <f t="shared" si="15"/>
        <v>3.847633136</v>
      </c>
      <c r="U3" s="10"/>
    </row>
    <row r="4">
      <c r="A4" s="11">
        <v>0.4166666666666667</v>
      </c>
      <c r="B4" s="8">
        <v>29.16</v>
      </c>
      <c r="C4" s="8">
        <v>28.9</v>
      </c>
      <c r="D4" s="8">
        <v>28.5</v>
      </c>
      <c r="E4" s="8">
        <f t="shared" si="4"/>
        <v>0.26</v>
      </c>
      <c r="F4" s="8">
        <f t="shared" si="5"/>
        <v>0.66</v>
      </c>
      <c r="G4" s="8">
        <f t="shared" si="6"/>
        <v>0.26</v>
      </c>
      <c r="H4" s="8">
        <f t="shared" si="7"/>
        <v>0.66</v>
      </c>
      <c r="I4" s="15">
        <f t="shared" ref="I4:J4" si="16">E4/C4</f>
        <v>0.008996539792</v>
      </c>
      <c r="J4" s="15">
        <f t="shared" si="16"/>
        <v>0.02315789474</v>
      </c>
      <c r="K4" s="8">
        <f t="shared" ref="K4:L4" si="17">G4^2</f>
        <v>0.0676</v>
      </c>
      <c r="L4" s="8">
        <f t="shared" si="17"/>
        <v>0.4356</v>
      </c>
      <c r="M4" s="8">
        <f t="shared" si="10"/>
        <v>1.707692308</v>
      </c>
      <c r="N4" s="8">
        <f t="shared" si="11"/>
        <v>1.269230769</v>
      </c>
      <c r="O4" s="8">
        <f t="shared" si="12"/>
        <v>1.961538462</v>
      </c>
      <c r="P4" s="8">
        <f t="shared" si="13"/>
        <v>2.167455621</v>
      </c>
      <c r="Q4" s="8">
        <f t="shared" si="14"/>
        <v>3.349704142</v>
      </c>
      <c r="R4" s="8">
        <f t="shared" ref="R4:T4" si="18">M4^2</f>
        <v>2.916213018</v>
      </c>
      <c r="S4" s="8">
        <f t="shared" si="18"/>
        <v>1.610946746</v>
      </c>
      <c r="T4" s="8">
        <f t="shared" si="18"/>
        <v>3.847633136</v>
      </c>
      <c r="U4" s="10"/>
    </row>
    <row r="5">
      <c r="A5" s="17">
        <v>0.9618055555555556</v>
      </c>
      <c r="B5" s="18">
        <v>27.01</v>
      </c>
      <c r="C5" s="18">
        <v>27.3</v>
      </c>
      <c r="D5" s="18">
        <v>26.0</v>
      </c>
      <c r="E5" s="18">
        <f t="shared" si="4"/>
        <v>0.29</v>
      </c>
      <c r="F5" s="18">
        <f t="shared" si="5"/>
        <v>1.01</v>
      </c>
      <c r="G5" s="8">
        <f t="shared" si="6"/>
        <v>-0.29</v>
      </c>
      <c r="H5" s="8">
        <f t="shared" si="7"/>
        <v>1.01</v>
      </c>
      <c r="I5" s="15">
        <f t="shared" ref="I5:J5" si="19">E5/C5</f>
        <v>0.01062271062</v>
      </c>
      <c r="J5" s="15">
        <f t="shared" si="19"/>
        <v>0.03884615385</v>
      </c>
      <c r="K5" s="8">
        <f t="shared" ref="K5:L5" si="20">G5^2</f>
        <v>0.0841</v>
      </c>
      <c r="L5" s="8">
        <f t="shared" si="20"/>
        <v>1.0201</v>
      </c>
      <c r="M5" s="8">
        <f t="shared" si="10"/>
        <v>-0.4423076923</v>
      </c>
      <c r="N5" s="8">
        <f t="shared" si="11"/>
        <v>-0.3307692308</v>
      </c>
      <c r="O5" s="8">
        <f t="shared" si="12"/>
        <v>-0.5384615385</v>
      </c>
      <c r="P5" s="8">
        <f t="shared" si="13"/>
        <v>0.1463017751</v>
      </c>
      <c r="Q5" s="8">
        <f t="shared" si="14"/>
        <v>0.2381656805</v>
      </c>
      <c r="R5" s="8">
        <f t="shared" ref="R5:T5" si="21">M5^2</f>
        <v>0.1956360947</v>
      </c>
      <c r="S5" s="8">
        <f t="shared" si="21"/>
        <v>0.109408284</v>
      </c>
      <c r="T5" s="8">
        <f t="shared" si="21"/>
        <v>0.2899408284</v>
      </c>
      <c r="U5" s="10"/>
    </row>
    <row r="6">
      <c r="A6" s="17">
        <v>0.9652777777777778</v>
      </c>
      <c r="B6" s="18">
        <v>27.11</v>
      </c>
      <c r="C6" s="18">
        <v>27.2</v>
      </c>
      <c r="D6" s="18">
        <v>26.0</v>
      </c>
      <c r="E6" s="18">
        <f t="shared" si="4"/>
        <v>0.09</v>
      </c>
      <c r="F6" s="18">
        <f t="shared" si="5"/>
        <v>1.11</v>
      </c>
      <c r="G6" s="8">
        <f t="shared" si="6"/>
        <v>-0.09</v>
      </c>
      <c r="H6" s="8">
        <f t="shared" si="7"/>
        <v>1.11</v>
      </c>
      <c r="I6" s="15">
        <f t="shared" ref="I6:J6" si="22">E6/C6</f>
        <v>0.003308823529</v>
      </c>
      <c r="J6" s="15">
        <f t="shared" si="22"/>
        <v>0.04269230769</v>
      </c>
      <c r="K6" s="8">
        <f t="shared" ref="K6:L6" si="23">G6^2</f>
        <v>0.0081</v>
      </c>
      <c r="L6" s="8">
        <f t="shared" si="23"/>
        <v>1.2321</v>
      </c>
      <c r="M6" s="8">
        <f t="shared" si="10"/>
        <v>-0.3423076923</v>
      </c>
      <c r="N6" s="8">
        <f t="shared" si="11"/>
        <v>-0.4307692308</v>
      </c>
      <c r="O6" s="8">
        <f t="shared" si="12"/>
        <v>-0.5384615385</v>
      </c>
      <c r="P6" s="8">
        <f t="shared" si="13"/>
        <v>0.1474556213</v>
      </c>
      <c r="Q6" s="8">
        <f t="shared" si="14"/>
        <v>0.1843195266</v>
      </c>
      <c r="R6" s="8">
        <f t="shared" ref="R6:T6" si="24">M6^2</f>
        <v>0.1171745562</v>
      </c>
      <c r="S6" s="8">
        <f t="shared" si="24"/>
        <v>0.1855621302</v>
      </c>
      <c r="T6" s="8">
        <f t="shared" si="24"/>
        <v>0.2899408284</v>
      </c>
      <c r="U6" s="10"/>
    </row>
    <row r="7">
      <c r="A7" s="17">
        <v>0.96875</v>
      </c>
      <c r="B7" s="18">
        <v>27.05</v>
      </c>
      <c r="C7" s="18">
        <v>27.1</v>
      </c>
      <c r="D7" s="18">
        <v>26.0</v>
      </c>
      <c r="E7" s="18">
        <f t="shared" si="4"/>
        <v>0.05</v>
      </c>
      <c r="F7" s="18">
        <f t="shared" si="5"/>
        <v>1.05</v>
      </c>
      <c r="G7" s="8">
        <f t="shared" si="6"/>
        <v>-0.05</v>
      </c>
      <c r="H7" s="8">
        <f t="shared" si="7"/>
        <v>1.05</v>
      </c>
      <c r="I7" s="15">
        <f t="shared" ref="I7:J7" si="25">E7/C7</f>
        <v>0.00184501845</v>
      </c>
      <c r="J7" s="15">
        <f t="shared" si="25"/>
        <v>0.04038461538</v>
      </c>
      <c r="K7" s="8">
        <f t="shared" ref="K7:L7" si="26">G7^2</f>
        <v>0.0025</v>
      </c>
      <c r="L7" s="8">
        <f t="shared" si="26"/>
        <v>1.1025</v>
      </c>
      <c r="M7" s="8">
        <f t="shared" si="10"/>
        <v>-0.4023076923</v>
      </c>
      <c r="N7" s="8">
        <f t="shared" si="11"/>
        <v>-0.5307692308</v>
      </c>
      <c r="O7" s="8">
        <f t="shared" si="12"/>
        <v>-0.5384615385</v>
      </c>
      <c r="P7" s="8">
        <f t="shared" si="13"/>
        <v>0.2135325444</v>
      </c>
      <c r="Q7" s="8">
        <f t="shared" si="14"/>
        <v>0.2166272189</v>
      </c>
      <c r="R7" s="8">
        <f t="shared" ref="R7:T7" si="27">M7^2</f>
        <v>0.1618514793</v>
      </c>
      <c r="S7" s="8">
        <f t="shared" si="27"/>
        <v>0.2817159763</v>
      </c>
      <c r="T7" s="8">
        <f t="shared" si="27"/>
        <v>0.2899408284</v>
      </c>
      <c r="U7" s="10"/>
    </row>
    <row r="8">
      <c r="A8" s="17">
        <v>0.9722222222222222</v>
      </c>
      <c r="B8" s="18">
        <v>27.1</v>
      </c>
      <c r="C8" s="18">
        <v>27.0</v>
      </c>
      <c r="D8" s="18">
        <v>26.0</v>
      </c>
      <c r="E8" s="18">
        <f t="shared" si="4"/>
        <v>0.1</v>
      </c>
      <c r="F8" s="18">
        <f t="shared" si="5"/>
        <v>1.1</v>
      </c>
      <c r="G8" s="8">
        <f t="shared" si="6"/>
        <v>0.1</v>
      </c>
      <c r="H8" s="8">
        <f t="shared" si="7"/>
        <v>1.1</v>
      </c>
      <c r="I8" s="15">
        <f t="shared" ref="I8:J8" si="28">E8/C8</f>
        <v>0.003703703704</v>
      </c>
      <c r="J8" s="15">
        <f t="shared" si="28"/>
        <v>0.04230769231</v>
      </c>
      <c r="K8" s="8">
        <f t="shared" ref="K8:L8" si="29">G8^2</f>
        <v>0.01</v>
      </c>
      <c r="L8" s="8">
        <f t="shared" si="29"/>
        <v>1.21</v>
      </c>
      <c r="M8" s="8">
        <f t="shared" si="10"/>
        <v>-0.3523076923</v>
      </c>
      <c r="N8" s="8">
        <f t="shared" si="11"/>
        <v>-0.6307692308</v>
      </c>
      <c r="O8" s="8">
        <f t="shared" si="12"/>
        <v>-0.5384615385</v>
      </c>
      <c r="P8" s="8">
        <f t="shared" si="13"/>
        <v>0.2222248521</v>
      </c>
      <c r="Q8" s="8">
        <f t="shared" si="14"/>
        <v>0.189704142</v>
      </c>
      <c r="R8" s="8">
        <f t="shared" ref="R8:T8" si="30">M8^2</f>
        <v>0.1241207101</v>
      </c>
      <c r="S8" s="8">
        <f t="shared" si="30"/>
        <v>0.3978698225</v>
      </c>
      <c r="T8" s="8">
        <f t="shared" si="30"/>
        <v>0.2899408284</v>
      </c>
      <c r="U8" s="10"/>
    </row>
    <row r="9">
      <c r="A9" s="17">
        <v>0.9756944444444444</v>
      </c>
      <c r="B9" s="18">
        <v>27.17</v>
      </c>
      <c r="C9" s="18">
        <v>27.0</v>
      </c>
      <c r="D9" s="18">
        <v>26.0</v>
      </c>
      <c r="E9" s="18">
        <f t="shared" si="4"/>
        <v>0.17</v>
      </c>
      <c r="F9" s="18">
        <f t="shared" si="5"/>
        <v>1.17</v>
      </c>
      <c r="G9" s="8">
        <f t="shared" si="6"/>
        <v>0.17</v>
      </c>
      <c r="H9" s="8">
        <f t="shared" si="7"/>
        <v>1.17</v>
      </c>
      <c r="I9" s="15">
        <f t="shared" ref="I9:J9" si="31">E9/C9</f>
        <v>0.006296296296</v>
      </c>
      <c r="J9" s="15">
        <f t="shared" si="31"/>
        <v>0.045</v>
      </c>
      <c r="K9" s="8">
        <f t="shared" ref="K9:L9" si="32">G9^2</f>
        <v>0.0289</v>
      </c>
      <c r="L9" s="8">
        <f t="shared" si="32"/>
        <v>1.3689</v>
      </c>
      <c r="M9" s="8">
        <f t="shared" si="10"/>
        <v>-0.2823076923</v>
      </c>
      <c r="N9" s="8">
        <f t="shared" si="11"/>
        <v>-0.6307692308</v>
      </c>
      <c r="O9" s="8">
        <f t="shared" si="12"/>
        <v>-0.5384615385</v>
      </c>
      <c r="P9" s="8">
        <f t="shared" si="13"/>
        <v>0.1780710059</v>
      </c>
      <c r="Q9" s="8">
        <f t="shared" si="14"/>
        <v>0.1520118343</v>
      </c>
      <c r="R9" s="8">
        <f t="shared" ref="R9:T9" si="33">M9^2</f>
        <v>0.07969763314</v>
      </c>
      <c r="S9" s="8">
        <f t="shared" si="33"/>
        <v>0.3978698225</v>
      </c>
      <c r="T9" s="8">
        <f t="shared" si="33"/>
        <v>0.2899408284</v>
      </c>
      <c r="U9" s="10"/>
    </row>
    <row r="10">
      <c r="A10" s="17">
        <v>0.9791666666666666</v>
      </c>
      <c r="B10" s="18">
        <v>27.14</v>
      </c>
      <c r="C10" s="18">
        <v>27.4</v>
      </c>
      <c r="D10" s="18">
        <v>26.0</v>
      </c>
      <c r="E10" s="18">
        <f t="shared" si="4"/>
        <v>0.26</v>
      </c>
      <c r="F10" s="18">
        <f t="shared" si="5"/>
        <v>1.14</v>
      </c>
      <c r="G10" s="8">
        <f t="shared" si="6"/>
        <v>-0.26</v>
      </c>
      <c r="H10" s="8">
        <f t="shared" si="7"/>
        <v>1.14</v>
      </c>
      <c r="I10" s="15">
        <f t="shared" ref="I10:J10" si="34">E10/C10</f>
        <v>0.009489051095</v>
      </c>
      <c r="J10" s="15">
        <f t="shared" si="34"/>
        <v>0.04384615385</v>
      </c>
      <c r="K10" s="8">
        <f t="shared" ref="K10:L10" si="35">G10^2</f>
        <v>0.0676</v>
      </c>
      <c r="L10" s="8">
        <f t="shared" si="35"/>
        <v>1.2996</v>
      </c>
      <c r="M10" s="8">
        <f t="shared" si="10"/>
        <v>-0.3123076923</v>
      </c>
      <c r="N10" s="8">
        <f t="shared" si="11"/>
        <v>-0.2307692308</v>
      </c>
      <c r="O10" s="8">
        <f t="shared" si="12"/>
        <v>-0.5384615385</v>
      </c>
      <c r="P10" s="8">
        <f t="shared" si="13"/>
        <v>0.07207100592</v>
      </c>
      <c r="Q10" s="8">
        <f t="shared" si="14"/>
        <v>0.1681656805</v>
      </c>
      <c r="R10" s="8">
        <f t="shared" ref="R10:T10" si="36">M10^2</f>
        <v>0.09753609467</v>
      </c>
      <c r="S10" s="8">
        <f t="shared" si="36"/>
        <v>0.05325443787</v>
      </c>
      <c r="T10" s="8">
        <f t="shared" si="36"/>
        <v>0.2899408284</v>
      </c>
      <c r="U10" s="10"/>
    </row>
    <row r="11">
      <c r="A11" s="20">
        <v>0.024305555555555556</v>
      </c>
      <c r="B11" s="21">
        <v>26.63</v>
      </c>
      <c r="C11" s="21">
        <v>27.5</v>
      </c>
      <c r="D11" s="21">
        <v>26.0</v>
      </c>
      <c r="E11" s="21">
        <f t="shared" si="4"/>
        <v>0.87</v>
      </c>
      <c r="F11" s="21">
        <f t="shared" si="5"/>
        <v>0.63</v>
      </c>
      <c r="G11" s="8">
        <f t="shared" si="6"/>
        <v>-0.87</v>
      </c>
      <c r="H11" s="8">
        <f t="shared" si="7"/>
        <v>0.63</v>
      </c>
      <c r="I11" s="15">
        <f t="shared" ref="I11:J11" si="37">E11/C11</f>
        <v>0.03163636364</v>
      </c>
      <c r="J11" s="15">
        <f t="shared" si="37"/>
        <v>0.02423076923</v>
      </c>
      <c r="K11" s="8">
        <f t="shared" ref="K11:L11" si="38">G11^2</f>
        <v>0.7569</v>
      </c>
      <c r="L11" s="8">
        <f t="shared" si="38"/>
        <v>0.3969</v>
      </c>
      <c r="M11" s="8">
        <f t="shared" si="10"/>
        <v>-0.8223076923</v>
      </c>
      <c r="N11" s="8">
        <f t="shared" si="11"/>
        <v>-0.1307692308</v>
      </c>
      <c r="O11" s="8">
        <f t="shared" si="12"/>
        <v>-0.5384615385</v>
      </c>
      <c r="P11" s="8">
        <f t="shared" si="13"/>
        <v>0.1075325444</v>
      </c>
      <c r="Q11" s="8">
        <f t="shared" si="14"/>
        <v>0.4427810651</v>
      </c>
      <c r="R11" s="8">
        <f t="shared" ref="R11:T11" si="39">M11^2</f>
        <v>0.6761899408</v>
      </c>
      <c r="S11" s="8">
        <f t="shared" si="39"/>
        <v>0.01710059172</v>
      </c>
      <c r="T11" s="8">
        <f t="shared" si="39"/>
        <v>0.2899408284</v>
      </c>
      <c r="U11" s="10"/>
    </row>
    <row r="12">
      <c r="A12" s="20">
        <v>0.025694444444444443</v>
      </c>
      <c r="B12" s="21">
        <v>26.73</v>
      </c>
      <c r="C12" s="21">
        <v>27.5</v>
      </c>
      <c r="D12" s="21">
        <v>26.0</v>
      </c>
      <c r="E12" s="21">
        <f t="shared" si="4"/>
        <v>0.77</v>
      </c>
      <c r="F12" s="21">
        <f t="shared" si="5"/>
        <v>0.73</v>
      </c>
      <c r="G12" s="8">
        <f t="shared" si="6"/>
        <v>-0.77</v>
      </c>
      <c r="H12" s="8">
        <f t="shared" si="7"/>
        <v>0.73</v>
      </c>
      <c r="I12" s="15">
        <f t="shared" ref="I12:J12" si="40">E12/C12</f>
        <v>0.028</v>
      </c>
      <c r="J12" s="15">
        <f t="shared" si="40"/>
        <v>0.02807692308</v>
      </c>
      <c r="K12" s="8">
        <f t="shared" ref="K12:L12" si="41">G12^2</f>
        <v>0.5929</v>
      </c>
      <c r="L12" s="8">
        <f t="shared" si="41"/>
        <v>0.5329</v>
      </c>
      <c r="M12" s="8">
        <f t="shared" si="10"/>
        <v>-0.7223076923</v>
      </c>
      <c r="N12" s="8">
        <f t="shared" si="11"/>
        <v>-0.1307692308</v>
      </c>
      <c r="O12" s="8">
        <f t="shared" si="12"/>
        <v>-0.5384615385</v>
      </c>
      <c r="P12" s="8">
        <f t="shared" si="13"/>
        <v>0.0944556213</v>
      </c>
      <c r="Q12" s="8">
        <f t="shared" si="14"/>
        <v>0.3889349112</v>
      </c>
      <c r="R12" s="8">
        <f t="shared" ref="R12:T12" si="42">M12^2</f>
        <v>0.5217284024</v>
      </c>
      <c r="S12" s="8">
        <f t="shared" si="42"/>
        <v>0.01710059172</v>
      </c>
      <c r="T12" s="8">
        <f t="shared" si="42"/>
        <v>0.2899408284</v>
      </c>
      <c r="U12" s="10"/>
    </row>
    <row r="13">
      <c r="A13" s="20">
        <v>0.027083333333333334</v>
      </c>
      <c r="B13" s="21">
        <v>26.84</v>
      </c>
      <c r="C13" s="21">
        <v>27.4</v>
      </c>
      <c r="D13" s="21">
        <v>26.0</v>
      </c>
      <c r="E13" s="21">
        <f t="shared" si="4"/>
        <v>0.56</v>
      </c>
      <c r="F13" s="21">
        <f t="shared" si="5"/>
        <v>0.84</v>
      </c>
      <c r="G13" s="8">
        <f t="shared" si="6"/>
        <v>-0.56</v>
      </c>
      <c r="H13" s="8">
        <f t="shared" si="7"/>
        <v>0.84</v>
      </c>
      <c r="I13" s="15">
        <f t="shared" ref="I13:J13" si="43">E13/C13</f>
        <v>0.0204379562</v>
      </c>
      <c r="J13" s="15">
        <f t="shared" si="43"/>
        <v>0.03230769231</v>
      </c>
      <c r="K13" s="8">
        <f t="shared" ref="K13:L13" si="44">G13^2</f>
        <v>0.3136</v>
      </c>
      <c r="L13" s="8">
        <f t="shared" si="44"/>
        <v>0.7056</v>
      </c>
      <c r="M13" s="8">
        <f t="shared" si="10"/>
        <v>-0.6123076923</v>
      </c>
      <c r="N13" s="8">
        <f t="shared" si="11"/>
        <v>-0.2307692308</v>
      </c>
      <c r="O13" s="8">
        <f t="shared" si="12"/>
        <v>-0.5384615385</v>
      </c>
      <c r="P13" s="8">
        <f t="shared" si="13"/>
        <v>0.1413017751</v>
      </c>
      <c r="Q13" s="8">
        <f t="shared" si="14"/>
        <v>0.329704142</v>
      </c>
      <c r="R13" s="8">
        <f t="shared" ref="R13:T13" si="45">M13^2</f>
        <v>0.3749207101</v>
      </c>
      <c r="S13" s="8">
        <f t="shared" si="45"/>
        <v>0.05325443787</v>
      </c>
      <c r="T13" s="8">
        <f t="shared" si="45"/>
        <v>0.2899408284</v>
      </c>
      <c r="U13" s="10"/>
    </row>
    <row r="14">
      <c r="A14" s="20">
        <v>0.02847222222222222</v>
      </c>
      <c r="B14" s="21">
        <v>27.04</v>
      </c>
      <c r="C14" s="21">
        <v>27.4</v>
      </c>
      <c r="D14" s="21">
        <v>26.0</v>
      </c>
      <c r="E14" s="21">
        <f t="shared" si="4"/>
        <v>0.36</v>
      </c>
      <c r="F14" s="21">
        <f t="shared" si="5"/>
        <v>1.04</v>
      </c>
      <c r="G14" s="8">
        <f t="shared" si="6"/>
        <v>-0.36</v>
      </c>
      <c r="H14" s="8">
        <f t="shared" si="7"/>
        <v>1.04</v>
      </c>
      <c r="I14" s="15">
        <f t="shared" ref="I14:J14" si="46">E14/C14</f>
        <v>0.01313868613</v>
      </c>
      <c r="J14" s="15">
        <f t="shared" si="46"/>
        <v>0.04</v>
      </c>
      <c r="K14" s="8">
        <f t="shared" ref="K14:L14" si="47">G14^2</f>
        <v>0.1296</v>
      </c>
      <c r="L14" s="8">
        <f t="shared" si="47"/>
        <v>1.0816</v>
      </c>
      <c r="M14" s="8">
        <f t="shared" si="10"/>
        <v>-0.4123076923</v>
      </c>
      <c r="N14" s="8">
        <f t="shared" si="11"/>
        <v>-0.2307692308</v>
      </c>
      <c r="O14" s="8">
        <f t="shared" si="12"/>
        <v>-0.5384615385</v>
      </c>
      <c r="P14" s="8">
        <f t="shared" si="13"/>
        <v>0.09514792899</v>
      </c>
      <c r="Q14" s="8">
        <f t="shared" si="14"/>
        <v>0.2220118343</v>
      </c>
      <c r="R14" s="8">
        <f t="shared" ref="R14:T14" si="48">M14^2</f>
        <v>0.1699976331</v>
      </c>
      <c r="S14" s="8">
        <f t="shared" si="48"/>
        <v>0.05325443787</v>
      </c>
      <c r="T14" s="8">
        <f t="shared" si="48"/>
        <v>0.2899408284</v>
      </c>
      <c r="U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8">
        <f t="shared" ref="M15:T15" si="49">SUM(M2:M14)</f>
        <v>0</v>
      </c>
      <c r="N15" s="8">
        <f t="shared" si="49"/>
        <v>0</v>
      </c>
      <c r="O15" s="8">
        <f t="shared" si="49"/>
        <v>0</v>
      </c>
      <c r="P15" s="8">
        <f t="shared" si="49"/>
        <v>6.946076923</v>
      </c>
      <c r="Q15" s="8">
        <f t="shared" si="49"/>
        <v>11.04884615</v>
      </c>
      <c r="R15" s="8">
        <f t="shared" si="49"/>
        <v>9.934030769</v>
      </c>
      <c r="S15" s="8">
        <f t="shared" si="49"/>
        <v>5.687692308</v>
      </c>
      <c r="T15" s="8">
        <f t="shared" si="49"/>
        <v>12.73076923</v>
      </c>
      <c r="U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0"/>
      <c r="B18" s="10"/>
      <c r="C18" s="10"/>
      <c r="D18" s="10"/>
      <c r="E18" s="10"/>
      <c r="F18" s="10"/>
      <c r="G18" s="2" t="s">
        <v>56</v>
      </c>
      <c r="H18" s="8">
        <f>AVERAGE(E2:E14)</f>
        <v>0.3215384615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/>
      <c r="B19" s="10"/>
      <c r="C19" s="10"/>
      <c r="D19" s="10"/>
      <c r="E19" s="10"/>
      <c r="F19" s="10"/>
      <c r="G19" s="2" t="s">
        <v>57</v>
      </c>
      <c r="H19" s="8">
        <f>AVERAGE(F2:F14)</f>
        <v>0.9138461538</v>
      </c>
      <c r="I19" s="10"/>
      <c r="J19" s="10"/>
      <c r="K19" s="10"/>
      <c r="L19" s="10"/>
      <c r="M19" s="10"/>
      <c r="N19" s="10"/>
      <c r="O19" s="10"/>
      <c r="P19" s="10" t="s">
        <v>58</v>
      </c>
      <c r="Q19" s="8">
        <f>P15/SQRT(R15*S15)</f>
        <v>0.924078341</v>
      </c>
      <c r="R19" s="8">
        <f>CORREL(B2:B14,C2:C14)</f>
        <v>0.924078341</v>
      </c>
      <c r="S19" s="10"/>
      <c r="T19" s="10"/>
      <c r="U19" s="10"/>
    </row>
    <row r="20">
      <c r="A20" s="10"/>
      <c r="B20" s="10"/>
      <c r="C20" s="10"/>
      <c r="D20" s="10"/>
      <c r="E20" s="10"/>
      <c r="F20" s="10"/>
      <c r="G20" s="2" t="s">
        <v>59</v>
      </c>
      <c r="H20" s="15">
        <f>AVERAGE(I2:I14)</f>
        <v>0.01164496966</v>
      </c>
      <c r="I20" s="10"/>
      <c r="J20" s="10"/>
      <c r="K20" s="10"/>
      <c r="L20" s="10"/>
      <c r="M20" s="10"/>
      <c r="N20" s="10"/>
      <c r="O20" s="10"/>
      <c r="P20" s="10" t="s">
        <v>60</v>
      </c>
      <c r="Q20" s="8">
        <f>Q15/sqrt(R15*T15)</f>
        <v>0.9824870916</v>
      </c>
      <c r="R20" s="8">
        <f>CORREL(B2:B14,D2:D14)</f>
        <v>0.9824870916</v>
      </c>
      <c r="S20" s="10"/>
      <c r="T20" s="10"/>
      <c r="U20" s="10"/>
    </row>
    <row r="21">
      <c r="A21" s="10"/>
      <c r="B21" s="10"/>
      <c r="C21" s="10"/>
      <c r="D21" s="10"/>
      <c r="E21" s="10"/>
      <c r="F21" s="10"/>
      <c r="G21" s="2" t="s">
        <v>61</v>
      </c>
      <c r="H21" s="15">
        <f>AVERAGE(J2:J14)</f>
        <v>0.03465524017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>
      <c r="A22" s="10"/>
      <c r="B22" s="10"/>
      <c r="C22" s="10"/>
      <c r="D22" s="10"/>
      <c r="E22" s="10"/>
      <c r="F22" s="10"/>
      <c r="G22" s="2" t="s">
        <v>62</v>
      </c>
      <c r="H22" s="8">
        <f>AVERAGE(K2:K14)</f>
        <v>0.1648923077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>
      <c r="A23" s="10"/>
      <c r="B23" s="10"/>
      <c r="C23" s="10"/>
      <c r="D23" s="10"/>
      <c r="E23" s="10"/>
      <c r="F23" s="10"/>
      <c r="G23" s="2" t="s">
        <v>63</v>
      </c>
      <c r="H23" s="8">
        <f>AVERAGE(L2:L14)</f>
        <v>0.8787384615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>
      <c r="A24" s="10"/>
      <c r="B24" s="10"/>
      <c r="C24" s="10"/>
      <c r="D24" s="10"/>
      <c r="E24" s="10"/>
      <c r="F24" s="10"/>
      <c r="G24" s="2" t="s">
        <v>64</v>
      </c>
      <c r="H24" s="8">
        <f t="shared" ref="H24:H25" si="50">SQRT(H22)</f>
        <v>0.4060693385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>
      <c r="A25" s="10"/>
      <c r="B25" s="10"/>
      <c r="C25" s="10"/>
      <c r="D25" s="10"/>
      <c r="E25" s="10"/>
      <c r="F25" s="10"/>
      <c r="G25" s="2" t="s">
        <v>65</v>
      </c>
      <c r="H25" s="8">
        <f t="shared" si="50"/>
        <v>0.9374105085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>
      <c r="A29" s="10" t="s">
        <v>71</v>
      </c>
      <c r="B29" s="8">
        <f>AVERAGE(B2:B14)</f>
        <v>27.45230769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>
      <c r="A30" s="10" t="s">
        <v>73</v>
      </c>
      <c r="B30" s="8">
        <f>AVERAGE(C2:C14)</f>
        <v>27.63076923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>
      <c r="A31" s="10" t="s">
        <v>74</v>
      </c>
      <c r="B31" s="8">
        <f>AVERAGE(D2:D14)</f>
        <v>26.53846154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3</v>
      </c>
      <c r="C1" s="3" t="s">
        <v>7</v>
      </c>
      <c r="D1" s="3" t="s">
        <v>11</v>
      </c>
      <c r="E1" s="3" t="s">
        <v>14</v>
      </c>
      <c r="F1" s="3" t="s">
        <v>18</v>
      </c>
      <c r="G1" s="5" t="s">
        <v>20</v>
      </c>
      <c r="H1" s="5" t="s">
        <v>23</v>
      </c>
      <c r="I1" s="5" t="s">
        <v>26</v>
      </c>
      <c r="J1" s="5" t="s">
        <v>28</v>
      </c>
      <c r="K1" s="5" t="s">
        <v>30</v>
      </c>
      <c r="L1" s="5" t="s">
        <v>33</v>
      </c>
      <c r="M1" s="2" t="s">
        <v>29</v>
      </c>
      <c r="N1" s="2" t="s">
        <v>27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42</v>
      </c>
      <c r="T1" s="2" t="s">
        <v>43</v>
      </c>
      <c r="U1" s="10"/>
    </row>
    <row r="2">
      <c r="A2" s="11">
        <v>0.4027777777777778</v>
      </c>
      <c r="B2" s="8">
        <v>67.23</v>
      </c>
      <c r="C2" s="8">
        <v>64.0</v>
      </c>
      <c r="D2" s="8">
        <v>65.0</v>
      </c>
      <c r="E2" s="8">
        <f t="shared" ref="E2:E14" si="4">ABS(B2-C2)</f>
        <v>3.23</v>
      </c>
      <c r="F2" s="8">
        <f t="shared" ref="F2:F14" si="5">ABS(B2-D2)</f>
        <v>2.23</v>
      </c>
      <c r="G2" s="8">
        <f t="shared" ref="G2:G14" si="6">B2-C2</f>
        <v>3.23</v>
      </c>
      <c r="H2" s="8">
        <f t="shared" ref="H2:H14" si="7">B2-D2</f>
        <v>2.23</v>
      </c>
      <c r="I2" s="15">
        <f t="shared" ref="I2:J2" si="1">E2/C2</f>
        <v>0.05046875</v>
      </c>
      <c r="J2" s="15">
        <f t="shared" si="1"/>
        <v>0.03430769231</v>
      </c>
      <c r="K2" s="8">
        <f t="shared" ref="K2:L2" si="2">G2^2</f>
        <v>10.4329</v>
      </c>
      <c r="L2" s="8">
        <f t="shared" si="2"/>
        <v>4.9729</v>
      </c>
      <c r="M2" s="8">
        <f t="shared" ref="M2:M14" si="10">B2-$B$29</f>
        <v>10.84923077</v>
      </c>
      <c r="N2" s="8">
        <f t="shared" ref="N2:N14" si="11">C2-$B$30</f>
        <v>11.38461538</v>
      </c>
      <c r="O2" s="8">
        <f t="shared" ref="O2:O14" si="12">D2-$B$31</f>
        <v>6.923076923</v>
      </c>
      <c r="P2" s="8">
        <f t="shared" ref="P2:P14" si="13">M2*N2</f>
        <v>123.5143195</v>
      </c>
      <c r="Q2" s="8">
        <f t="shared" ref="Q2:Q14" si="14">M2*O2</f>
        <v>75.11005917</v>
      </c>
      <c r="R2" s="8">
        <f t="shared" ref="R2:T2" si="3">M2^2</f>
        <v>117.7058083</v>
      </c>
      <c r="S2" s="8">
        <f t="shared" si="3"/>
        <v>129.6094675</v>
      </c>
      <c r="T2" s="8">
        <f t="shared" si="3"/>
        <v>47.92899408</v>
      </c>
      <c r="U2" s="10"/>
    </row>
    <row r="3">
      <c r="A3" s="11">
        <v>0.4097222222222222</v>
      </c>
      <c r="B3" s="8">
        <v>67.49</v>
      </c>
      <c r="C3" s="8">
        <v>65.0</v>
      </c>
      <c r="D3" s="8">
        <v>64.0</v>
      </c>
      <c r="E3" s="8">
        <f t="shared" si="4"/>
        <v>2.49</v>
      </c>
      <c r="F3" s="8">
        <f t="shared" si="5"/>
        <v>3.49</v>
      </c>
      <c r="G3" s="8">
        <f t="shared" si="6"/>
        <v>2.49</v>
      </c>
      <c r="H3" s="8">
        <f t="shared" si="7"/>
        <v>3.49</v>
      </c>
      <c r="I3" s="15">
        <f t="shared" ref="I3:J3" si="8">E3/C3</f>
        <v>0.03830769231</v>
      </c>
      <c r="J3" s="15">
        <f t="shared" si="8"/>
        <v>0.05453125</v>
      </c>
      <c r="K3" s="8">
        <f t="shared" ref="K3:L3" si="9">G3^2</f>
        <v>6.2001</v>
      </c>
      <c r="L3" s="8">
        <f t="shared" si="9"/>
        <v>12.1801</v>
      </c>
      <c r="M3" s="8">
        <f t="shared" si="10"/>
        <v>11.10923077</v>
      </c>
      <c r="N3" s="8">
        <f t="shared" si="11"/>
        <v>12.38461538</v>
      </c>
      <c r="O3" s="8">
        <f t="shared" si="12"/>
        <v>5.923076923</v>
      </c>
      <c r="P3" s="8">
        <f t="shared" si="13"/>
        <v>137.5835503</v>
      </c>
      <c r="Q3" s="8">
        <f t="shared" si="14"/>
        <v>65.8008284</v>
      </c>
      <c r="R3" s="8">
        <f t="shared" ref="R3:T3" si="15">M3^2</f>
        <v>123.4150083</v>
      </c>
      <c r="S3" s="8">
        <f t="shared" si="15"/>
        <v>153.3786982</v>
      </c>
      <c r="T3" s="8">
        <f t="shared" si="15"/>
        <v>35.08284024</v>
      </c>
      <c r="U3" s="10"/>
    </row>
    <row r="4">
      <c r="A4" s="11">
        <v>0.4166666666666667</v>
      </c>
      <c r="B4" s="8">
        <v>67.43</v>
      </c>
      <c r="C4" s="8">
        <v>65.0</v>
      </c>
      <c r="D4" s="8">
        <v>64.0</v>
      </c>
      <c r="E4" s="8">
        <f t="shared" si="4"/>
        <v>2.43</v>
      </c>
      <c r="F4" s="8">
        <f t="shared" si="5"/>
        <v>3.43</v>
      </c>
      <c r="G4" s="8">
        <f t="shared" si="6"/>
        <v>2.43</v>
      </c>
      <c r="H4" s="8">
        <f t="shared" si="7"/>
        <v>3.43</v>
      </c>
      <c r="I4" s="15">
        <f t="shared" ref="I4:J4" si="16">E4/C4</f>
        <v>0.03738461538</v>
      </c>
      <c r="J4" s="15">
        <f t="shared" si="16"/>
        <v>0.05359375</v>
      </c>
      <c r="K4" s="8">
        <f t="shared" ref="K4:L4" si="17">G4^2</f>
        <v>5.9049</v>
      </c>
      <c r="L4" s="8">
        <f t="shared" si="17"/>
        <v>11.7649</v>
      </c>
      <c r="M4" s="8">
        <f t="shared" si="10"/>
        <v>11.04923077</v>
      </c>
      <c r="N4" s="8">
        <f t="shared" si="11"/>
        <v>12.38461538</v>
      </c>
      <c r="O4" s="8">
        <f t="shared" si="12"/>
        <v>5.923076923</v>
      </c>
      <c r="P4" s="8">
        <f t="shared" si="13"/>
        <v>136.8404734</v>
      </c>
      <c r="Q4" s="8">
        <f t="shared" si="14"/>
        <v>65.44544379</v>
      </c>
      <c r="R4" s="8">
        <f t="shared" ref="R4:T4" si="18">M4^2</f>
        <v>122.0855006</v>
      </c>
      <c r="S4" s="8">
        <f t="shared" si="18"/>
        <v>153.3786982</v>
      </c>
      <c r="T4" s="8">
        <f t="shared" si="18"/>
        <v>35.08284024</v>
      </c>
      <c r="U4" s="10"/>
    </row>
    <row r="5">
      <c r="A5" s="17">
        <v>0.9618055555555556</v>
      </c>
      <c r="B5" s="18">
        <v>52.19</v>
      </c>
      <c r="C5" s="18">
        <v>49.0</v>
      </c>
      <c r="D5" s="18">
        <v>58.0</v>
      </c>
      <c r="E5" s="18">
        <f t="shared" si="4"/>
        <v>3.19</v>
      </c>
      <c r="F5" s="18">
        <f t="shared" si="5"/>
        <v>5.81</v>
      </c>
      <c r="G5" s="8">
        <f t="shared" si="6"/>
        <v>3.19</v>
      </c>
      <c r="H5" s="8">
        <f t="shared" si="7"/>
        <v>-5.81</v>
      </c>
      <c r="I5" s="15">
        <f t="shared" ref="I5:J5" si="19">E5/C5</f>
        <v>0.06510204082</v>
      </c>
      <c r="J5" s="15">
        <f t="shared" si="19"/>
        <v>0.1001724138</v>
      </c>
      <c r="K5" s="8">
        <f t="shared" ref="K5:L5" si="20">G5^2</f>
        <v>10.1761</v>
      </c>
      <c r="L5" s="8">
        <f t="shared" si="20"/>
        <v>33.7561</v>
      </c>
      <c r="M5" s="8">
        <f t="shared" si="10"/>
        <v>-4.190769231</v>
      </c>
      <c r="N5" s="8">
        <f t="shared" si="11"/>
        <v>-3.615384615</v>
      </c>
      <c r="O5" s="8">
        <f t="shared" si="12"/>
        <v>-0.07692307692</v>
      </c>
      <c r="P5" s="8">
        <f t="shared" si="13"/>
        <v>15.1512426</v>
      </c>
      <c r="Q5" s="8">
        <f t="shared" si="14"/>
        <v>0.3223668639</v>
      </c>
      <c r="R5" s="8">
        <f t="shared" ref="R5:T5" si="21">M5^2</f>
        <v>17.56254675</v>
      </c>
      <c r="S5" s="8">
        <f t="shared" si="21"/>
        <v>13.07100592</v>
      </c>
      <c r="T5" s="8">
        <f t="shared" si="21"/>
        <v>0.005917159763</v>
      </c>
      <c r="U5" s="10"/>
    </row>
    <row r="6">
      <c r="A6" s="17">
        <v>0.9652777777777778</v>
      </c>
      <c r="B6" s="18">
        <v>53.87</v>
      </c>
      <c r="C6" s="18">
        <v>50.0</v>
      </c>
      <c r="D6" s="18">
        <v>57.0</v>
      </c>
      <c r="E6" s="18">
        <f t="shared" si="4"/>
        <v>3.87</v>
      </c>
      <c r="F6" s="18">
        <f t="shared" si="5"/>
        <v>3.13</v>
      </c>
      <c r="G6" s="8">
        <f t="shared" si="6"/>
        <v>3.87</v>
      </c>
      <c r="H6" s="8">
        <f t="shared" si="7"/>
        <v>-3.13</v>
      </c>
      <c r="I6" s="15">
        <f t="shared" ref="I6:J6" si="22">E6/C6</f>
        <v>0.0774</v>
      </c>
      <c r="J6" s="15">
        <f t="shared" si="22"/>
        <v>0.0549122807</v>
      </c>
      <c r="K6" s="8">
        <f t="shared" ref="K6:L6" si="23">G6^2</f>
        <v>14.9769</v>
      </c>
      <c r="L6" s="8">
        <f t="shared" si="23"/>
        <v>9.7969</v>
      </c>
      <c r="M6" s="8">
        <f t="shared" si="10"/>
        <v>-2.510769231</v>
      </c>
      <c r="N6" s="8">
        <f t="shared" si="11"/>
        <v>-2.615384615</v>
      </c>
      <c r="O6" s="8">
        <f t="shared" si="12"/>
        <v>-1.076923077</v>
      </c>
      <c r="P6" s="8">
        <f t="shared" si="13"/>
        <v>6.566627219</v>
      </c>
      <c r="Q6" s="8">
        <f t="shared" si="14"/>
        <v>2.703905325</v>
      </c>
      <c r="R6" s="8">
        <f t="shared" ref="R6:T6" si="24">M6^2</f>
        <v>6.30396213</v>
      </c>
      <c r="S6" s="8">
        <f t="shared" si="24"/>
        <v>6.840236686</v>
      </c>
      <c r="T6" s="8">
        <f t="shared" si="24"/>
        <v>1.159763314</v>
      </c>
      <c r="U6" s="10"/>
    </row>
    <row r="7">
      <c r="A7" s="17">
        <v>0.96875</v>
      </c>
      <c r="B7" s="18">
        <v>53.34</v>
      </c>
      <c r="C7" s="18">
        <v>50.0</v>
      </c>
      <c r="D7" s="18">
        <v>57.0</v>
      </c>
      <c r="E7" s="18">
        <f t="shared" si="4"/>
        <v>3.34</v>
      </c>
      <c r="F7" s="18">
        <f t="shared" si="5"/>
        <v>3.66</v>
      </c>
      <c r="G7" s="8">
        <f t="shared" si="6"/>
        <v>3.34</v>
      </c>
      <c r="H7" s="8">
        <f t="shared" si="7"/>
        <v>-3.66</v>
      </c>
      <c r="I7" s="15">
        <f t="shared" ref="I7:J7" si="25">E7/C7</f>
        <v>0.0668</v>
      </c>
      <c r="J7" s="15">
        <f t="shared" si="25"/>
        <v>0.06421052632</v>
      </c>
      <c r="K7" s="8">
        <f t="shared" ref="K7:L7" si="26">G7^2</f>
        <v>11.1556</v>
      </c>
      <c r="L7" s="8">
        <f t="shared" si="26"/>
        <v>13.3956</v>
      </c>
      <c r="M7" s="8">
        <f t="shared" si="10"/>
        <v>-3.040769231</v>
      </c>
      <c r="N7" s="8">
        <f t="shared" si="11"/>
        <v>-2.615384615</v>
      </c>
      <c r="O7" s="8">
        <f t="shared" si="12"/>
        <v>-1.076923077</v>
      </c>
      <c r="P7" s="8">
        <f t="shared" si="13"/>
        <v>7.952781065</v>
      </c>
      <c r="Q7" s="8">
        <f t="shared" si="14"/>
        <v>3.274674556</v>
      </c>
      <c r="R7" s="8">
        <f t="shared" ref="R7:T7" si="27">M7^2</f>
        <v>9.246277515</v>
      </c>
      <c r="S7" s="8">
        <f t="shared" si="27"/>
        <v>6.840236686</v>
      </c>
      <c r="T7" s="8">
        <f t="shared" si="27"/>
        <v>1.159763314</v>
      </c>
      <c r="U7" s="10"/>
    </row>
    <row r="8">
      <c r="A8" s="17">
        <v>0.9722222222222222</v>
      </c>
      <c r="B8" s="18">
        <v>52.54</v>
      </c>
      <c r="C8" s="18">
        <v>49.0</v>
      </c>
      <c r="D8" s="18">
        <v>57.0</v>
      </c>
      <c r="E8" s="18">
        <f t="shared" si="4"/>
        <v>3.54</v>
      </c>
      <c r="F8" s="18">
        <f t="shared" si="5"/>
        <v>4.46</v>
      </c>
      <c r="G8" s="8">
        <f t="shared" si="6"/>
        <v>3.54</v>
      </c>
      <c r="H8" s="8">
        <f t="shared" si="7"/>
        <v>-4.46</v>
      </c>
      <c r="I8" s="15">
        <f t="shared" ref="I8:J8" si="28">E8/C8</f>
        <v>0.07224489796</v>
      </c>
      <c r="J8" s="15">
        <f t="shared" si="28"/>
        <v>0.07824561404</v>
      </c>
      <c r="K8" s="8">
        <f t="shared" ref="K8:L8" si="29">G8^2</f>
        <v>12.5316</v>
      </c>
      <c r="L8" s="8">
        <f t="shared" si="29"/>
        <v>19.8916</v>
      </c>
      <c r="M8" s="8">
        <f t="shared" si="10"/>
        <v>-3.840769231</v>
      </c>
      <c r="N8" s="8">
        <f t="shared" si="11"/>
        <v>-3.615384615</v>
      </c>
      <c r="O8" s="8">
        <f t="shared" si="12"/>
        <v>-1.076923077</v>
      </c>
      <c r="P8" s="8">
        <f t="shared" si="13"/>
        <v>13.88585799</v>
      </c>
      <c r="Q8" s="8">
        <f t="shared" si="14"/>
        <v>4.136213018</v>
      </c>
      <c r="R8" s="8">
        <f t="shared" ref="R8:T8" si="30">M8^2</f>
        <v>14.75150828</v>
      </c>
      <c r="S8" s="8">
        <f t="shared" si="30"/>
        <v>13.07100592</v>
      </c>
      <c r="T8" s="8">
        <f t="shared" si="30"/>
        <v>1.159763314</v>
      </c>
      <c r="U8" s="10"/>
    </row>
    <row r="9">
      <c r="A9" s="17">
        <v>0.9756944444444444</v>
      </c>
      <c r="B9" s="18">
        <v>55.54</v>
      </c>
      <c r="C9" s="18">
        <v>51.0</v>
      </c>
      <c r="D9" s="18">
        <v>57.0</v>
      </c>
      <c r="E9" s="18">
        <f t="shared" si="4"/>
        <v>4.54</v>
      </c>
      <c r="F9" s="18">
        <f t="shared" si="5"/>
        <v>1.46</v>
      </c>
      <c r="G9" s="8">
        <f t="shared" si="6"/>
        <v>4.54</v>
      </c>
      <c r="H9" s="8">
        <f t="shared" si="7"/>
        <v>-1.46</v>
      </c>
      <c r="I9" s="15">
        <f t="shared" ref="I9:J9" si="31">E9/C9</f>
        <v>0.08901960784</v>
      </c>
      <c r="J9" s="15">
        <f t="shared" si="31"/>
        <v>0.02561403509</v>
      </c>
      <c r="K9" s="8">
        <f t="shared" ref="K9:L9" si="32">G9^2</f>
        <v>20.6116</v>
      </c>
      <c r="L9" s="8">
        <f t="shared" si="32"/>
        <v>2.1316</v>
      </c>
      <c r="M9" s="8">
        <f t="shared" si="10"/>
        <v>-0.8407692308</v>
      </c>
      <c r="N9" s="8">
        <f t="shared" si="11"/>
        <v>-1.615384615</v>
      </c>
      <c r="O9" s="8">
        <f t="shared" si="12"/>
        <v>-1.076923077</v>
      </c>
      <c r="P9" s="8">
        <f t="shared" si="13"/>
        <v>1.35816568</v>
      </c>
      <c r="Q9" s="8">
        <f t="shared" si="14"/>
        <v>0.905443787</v>
      </c>
      <c r="R9" s="8">
        <f t="shared" ref="R9:T9" si="33">M9^2</f>
        <v>0.7068928994</v>
      </c>
      <c r="S9" s="8">
        <f t="shared" si="33"/>
        <v>2.609467456</v>
      </c>
      <c r="T9" s="8">
        <f t="shared" si="33"/>
        <v>1.159763314</v>
      </c>
      <c r="U9" s="10"/>
    </row>
    <row r="10">
      <c r="A10" s="17">
        <v>0.9791666666666666</v>
      </c>
      <c r="B10" s="18">
        <v>52.68</v>
      </c>
      <c r="C10" s="18">
        <v>51.0</v>
      </c>
      <c r="D10" s="18">
        <v>56.0</v>
      </c>
      <c r="E10" s="18">
        <f t="shared" si="4"/>
        <v>1.68</v>
      </c>
      <c r="F10" s="18">
        <f t="shared" si="5"/>
        <v>3.32</v>
      </c>
      <c r="G10" s="8">
        <f t="shared" si="6"/>
        <v>1.68</v>
      </c>
      <c r="H10" s="8">
        <f t="shared" si="7"/>
        <v>-3.32</v>
      </c>
      <c r="I10" s="15">
        <f t="shared" ref="I10:J10" si="34">E10/C10</f>
        <v>0.03294117647</v>
      </c>
      <c r="J10" s="15">
        <f t="shared" si="34"/>
        <v>0.05928571429</v>
      </c>
      <c r="K10" s="8">
        <f t="shared" ref="K10:L10" si="35">G10^2</f>
        <v>2.8224</v>
      </c>
      <c r="L10" s="8">
        <f t="shared" si="35"/>
        <v>11.0224</v>
      </c>
      <c r="M10" s="8">
        <f t="shared" si="10"/>
        <v>-3.700769231</v>
      </c>
      <c r="N10" s="8">
        <f t="shared" si="11"/>
        <v>-1.615384615</v>
      </c>
      <c r="O10" s="8">
        <f t="shared" si="12"/>
        <v>-2.076923077</v>
      </c>
      <c r="P10" s="8">
        <f t="shared" si="13"/>
        <v>5.97816568</v>
      </c>
      <c r="Q10" s="8">
        <f t="shared" si="14"/>
        <v>7.686213018</v>
      </c>
      <c r="R10" s="8">
        <f t="shared" ref="R10:T10" si="36">M10^2</f>
        <v>13.6956929</v>
      </c>
      <c r="S10" s="8">
        <f t="shared" si="36"/>
        <v>2.609467456</v>
      </c>
      <c r="T10" s="8">
        <f t="shared" si="36"/>
        <v>4.313609467</v>
      </c>
      <c r="U10" s="10"/>
    </row>
    <row r="11">
      <c r="A11" s="20">
        <v>0.024305555555555556</v>
      </c>
      <c r="B11" s="21">
        <v>51.67</v>
      </c>
      <c r="C11" s="21">
        <v>48.0</v>
      </c>
      <c r="D11" s="21">
        <v>55.0</v>
      </c>
      <c r="E11" s="21">
        <f t="shared" si="4"/>
        <v>3.67</v>
      </c>
      <c r="F11" s="21">
        <f t="shared" si="5"/>
        <v>3.33</v>
      </c>
      <c r="G11" s="8">
        <f t="shared" si="6"/>
        <v>3.67</v>
      </c>
      <c r="H11" s="8">
        <f t="shared" si="7"/>
        <v>-3.33</v>
      </c>
      <c r="I11" s="15">
        <f t="shared" ref="I11:J11" si="37">E11/C11</f>
        <v>0.07645833333</v>
      </c>
      <c r="J11" s="15">
        <f t="shared" si="37"/>
        <v>0.06054545455</v>
      </c>
      <c r="K11" s="8">
        <f t="shared" ref="K11:L11" si="38">G11^2</f>
        <v>13.4689</v>
      </c>
      <c r="L11" s="8">
        <f t="shared" si="38"/>
        <v>11.0889</v>
      </c>
      <c r="M11" s="8">
        <f t="shared" si="10"/>
        <v>-4.710769231</v>
      </c>
      <c r="N11" s="8">
        <f t="shared" si="11"/>
        <v>-4.615384615</v>
      </c>
      <c r="O11" s="8">
        <f t="shared" si="12"/>
        <v>-3.076923077</v>
      </c>
      <c r="P11" s="8">
        <f t="shared" si="13"/>
        <v>21.74201183</v>
      </c>
      <c r="Q11" s="8">
        <f t="shared" si="14"/>
        <v>14.49467456</v>
      </c>
      <c r="R11" s="8">
        <f t="shared" ref="R11:T11" si="39">M11^2</f>
        <v>22.19134675</v>
      </c>
      <c r="S11" s="8">
        <f t="shared" si="39"/>
        <v>21.30177515</v>
      </c>
      <c r="T11" s="8">
        <f t="shared" si="39"/>
        <v>9.467455621</v>
      </c>
      <c r="U11" s="10"/>
    </row>
    <row r="12">
      <c r="A12" s="20">
        <v>0.025694444444444443</v>
      </c>
      <c r="B12" s="21">
        <v>52.04</v>
      </c>
      <c r="C12" s="21">
        <v>47.0</v>
      </c>
      <c r="D12" s="21">
        <v>55.0</v>
      </c>
      <c r="E12" s="21">
        <f t="shared" si="4"/>
        <v>5.04</v>
      </c>
      <c r="F12" s="21">
        <f t="shared" si="5"/>
        <v>2.96</v>
      </c>
      <c r="G12" s="8">
        <f t="shared" si="6"/>
        <v>5.04</v>
      </c>
      <c r="H12" s="8">
        <f t="shared" si="7"/>
        <v>-2.96</v>
      </c>
      <c r="I12" s="15">
        <f t="shared" ref="I12:J12" si="40">E12/C12</f>
        <v>0.1072340426</v>
      </c>
      <c r="J12" s="15">
        <f t="shared" si="40"/>
        <v>0.05381818182</v>
      </c>
      <c r="K12" s="8">
        <f t="shared" ref="K12:L12" si="41">G12^2</f>
        <v>25.4016</v>
      </c>
      <c r="L12" s="8">
        <f t="shared" si="41"/>
        <v>8.7616</v>
      </c>
      <c r="M12" s="8">
        <f t="shared" si="10"/>
        <v>-4.340769231</v>
      </c>
      <c r="N12" s="8">
        <f t="shared" si="11"/>
        <v>-5.615384615</v>
      </c>
      <c r="O12" s="8">
        <f t="shared" si="12"/>
        <v>-3.076923077</v>
      </c>
      <c r="P12" s="8">
        <f t="shared" si="13"/>
        <v>24.37508876</v>
      </c>
      <c r="Q12" s="8">
        <f t="shared" si="14"/>
        <v>13.35621302</v>
      </c>
      <c r="R12" s="8">
        <f t="shared" ref="R12:T12" si="42">M12^2</f>
        <v>18.84227751</v>
      </c>
      <c r="S12" s="8">
        <f t="shared" si="42"/>
        <v>31.53254438</v>
      </c>
      <c r="T12" s="8">
        <f t="shared" si="42"/>
        <v>9.467455621</v>
      </c>
      <c r="U12" s="10"/>
    </row>
    <row r="13">
      <c r="A13" s="20">
        <v>0.027083333333333334</v>
      </c>
      <c r="B13" s="21">
        <v>52.96</v>
      </c>
      <c r="C13" s="21">
        <v>47.0</v>
      </c>
      <c r="D13" s="21">
        <v>55.0</v>
      </c>
      <c r="E13" s="21">
        <f t="shared" si="4"/>
        <v>5.96</v>
      </c>
      <c r="F13" s="21">
        <f t="shared" si="5"/>
        <v>2.04</v>
      </c>
      <c r="G13" s="8">
        <f t="shared" si="6"/>
        <v>5.96</v>
      </c>
      <c r="H13" s="8">
        <f t="shared" si="7"/>
        <v>-2.04</v>
      </c>
      <c r="I13" s="15">
        <f t="shared" ref="I13:J13" si="43">E13/C13</f>
        <v>0.1268085106</v>
      </c>
      <c r="J13" s="15">
        <f t="shared" si="43"/>
        <v>0.03709090909</v>
      </c>
      <c r="K13" s="8">
        <f t="shared" ref="K13:L13" si="44">G13^2</f>
        <v>35.5216</v>
      </c>
      <c r="L13" s="8">
        <f t="shared" si="44"/>
        <v>4.1616</v>
      </c>
      <c r="M13" s="8">
        <f t="shared" si="10"/>
        <v>-3.420769231</v>
      </c>
      <c r="N13" s="8">
        <f t="shared" si="11"/>
        <v>-5.615384615</v>
      </c>
      <c r="O13" s="8">
        <f t="shared" si="12"/>
        <v>-3.076923077</v>
      </c>
      <c r="P13" s="8">
        <f t="shared" si="13"/>
        <v>19.20893491</v>
      </c>
      <c r="Q13" s="8">
        <f t="shared" si="14"/>
        <v>10.52544379</v>
      </c>
      <c r="R13" s="8">
        <f t="shared" ref="R13:T13" si="45">M13^2</f>
        <v>11.70166213</v>
      </c>
      <c r="S13" s="8">
        <f t="shared" si="45"/>
        <v>31.53254438</v>
      </c>
      <c r="T13" s="8">
        <f t="shared" si="45"/>
        <v>9.467455621</v>
      </c>
      <c r="U13" s="10"/>
    </row>
    <row r="14">
      <c r="A14" s="20">
        <v>0.02847222222222222</v>
      </c>
      <c r="B14" s="21">
        <v>53.97</v>
      </c>
      <c r="C14" s="21">
        <v>48.0</v>
      </c>
      <c r="D14" s="21">
        <v>55.0</v>
      </c>
      <c r="E14" s="21">
        <f t="shared" si="4"/>
        <v>5.97</v>
      </c>
      <c r="F14" s="21">
        <f t="shared" si="5"/>
        <v>1.03</v>
      </c>
      <c r="G14" s="8">
        <f t="shared" si="6"/>
        <v>5.97</v>
      </c>
      <c r="H14" s="8">
        <f t="shared" si="7"/>
        <v>-1.03</v>
      </c>
      <c r="I14" s="15">
        <f t="shared" ref="I14:J14" si="46">E14/C14</f>
        <v>0.124375</v>
      </c>
      <c r="J14" s="15">
        <f t="shared" si="46"/>
        <v>0.01872727273</v>
      </c>
      <c r="K14" s="8">
        <f t="shared" ref="K14:L14" si="47">G14^2</f>
        <v>35.6409</v>
      </c>
      <c r="L14" s="8">
        <f t="shared" si="47"/>
        <v>1.0609</v>
      </c>
      <c r="M14" s="8">
        <f t="shared" si="10"/>
        <v>-2.410769231</v>
      </c>
      <c r="N14" s="8">
        <f t="shared" si="11"/>
        <v>-4.615384615</v>
      </c>
      <c r="O14" s="8">
        <f t="shared" si="12"/>
        <v>-3.076923077</v>
      </c>
      <c r="P14" s="8">
        <f t="shared" si="13"/>
        <v>11.12662722</v>
      </c>
      <c r="Q14" s="8">
        <f t="shared" si="14"/>
        <v>7.417751479</v>
      </c>
      <c r="R14" s="8">
        <f t="shared" ref="R14:T14" si="48">M14^2</f>
        <v>5.811808284</v>
      </c>
      <c r="S14" s="8">
        <f t="shared" si="48"/>
        <v>21.30177515</v>
      </c>
      <c r="T14" s="8">
        <f t="shared" si="48"/>
        <v>9.467455621</v>
      </c>
      <c r="U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8">
        <f t="shared" ref="M15:T15" si="49">SUM(M2:M14)</f>
        <v>0</v>
      </c>
      <c r="N15" s="8">
        <f t="shared" si="49"/>
        <v>0</v>
      </c>
      <c r="O15" s="8">
        <f t="shared" si="49"/>
        <v>0</v>
      </c>
      <c r="P15" s="8">
        <f t="shared" si="49"/>
        <v>525.2838462</v>
      </c>
      <c r="Q15" s="8">
        <f t="shared" si="49"/>
        <v>271.1792308</v>
      </c>
      <c r="R15" s="8">
        <f t="shared" si="49"/>
        <v>484.0202923</v>
      </c>
      <c r="S15" s="8">
        <f t="shared" si="49"/>
        <v>587.0769231</v>
      </c>
      <c r="T15" s="8">
        <f t="shared" si="49"/>
        <v>164.9230769</v>
      </c>
      <c r="U15" s="10"/>
    </row>
    <row r="16">
      <c r="A16" s="10"/>
      <c r="B16" s="10"/>
      <c r="C16" s="10"/>
      <c r="D16" s="10"/>
      <c r="E16" s="8">
        <f t="shared" ref="E16:F16" si="50">AVERAGE(E2:E14)</f>
        <v>3.765384615</v>
      </c>
      <c r="F16" s="8">
        <f t="shared" si="50"/>
        <v>3.103846154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0"/>
      <c r="B18" s="10"/>
      <c r="C18" s="10"/>
      <c r="D18" s="10"/>
      <c r="E18" s="10"/>
      <c r="F18" s="10"/>
      <c r="G18" s="2" t="s">
        <v>56</v>
      </c>
      <c r="H18" s="8">
        <f>AVERAGE(E2:E14)</f>
        <v>3.765384615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/>
      <c r="B19" s="10"/>
      <c r="C19" s="10"/>
      <c r="D19" s="10"/>
      <c r="E19" s="10"/>
      <c r="F19" s="10"/>
      <c r="G19" s="2" t="s">
        <v>57</v>
      </c>
      <c r="H19" s="8">
        <f>AVERAGE(F2:F14)</f>
        <v>3.103846154</v>
      </c>
      <c r="I19" s="10"/>
      <c r="J19" s="10"/>
      <c r="K19" s="10"/>
      <c r="L19" s="10"/>
      <c r="M19" s="10"/>
      <c r="N19" s="10"/>
      <c r="O19" s="10"/>
      <c r="P19" s="10" t="s">
        <v>58</v>
      </c>
      <c r="Q19" s="8">
        <f>P15/SQRT(R15*S15)</f>
        <v>0.9854049869</v>
      </c>
      <c r="R19" s="8">
        <f>CORREL(B2:B14,C2:C14)</f>
        <v>0.9854049869</v>
      </c>
      <c r="S19" s="10"/>
      <c r="T19" s="10"/>
      <c r="U19" s="10"/>
    </row>
    <row r="20">
      <c r="A20" s="10"/>
      <c r="B20" s="10"/>
      <c r="C20" s="10"/>
      <c r="D20" s="10"/>
      <c r="E20" s="10"/>
      <c r="F20" s="10"/>
      <c r="G20" s="2" t="s">
        <v>59</v>
      </c>
      <c r="H20" s="15">
        <f>AVERAGE(I2:I14)</f>
        <v>0.07419574364</v>
      </c>
      <c r="I20" s="10"/>
      <c r="J20" s="10"/>
      <c r="K20" s="10"/>
      <c r="L20" s="10"/>
      <c r="M20" s="10"/>
      <c r="N20" s="10"/>
      <c r="O20" s="10"/>
      <c r="P20" s="10" t="s">
        <v>60</v>
      </c>
      <c r="Q20" s="8">
        <f>Q15/sqrt(R15*T15)</f>
        <v>0.9598070273</v>
      </c>
      <c r="R20" s="8">
        <f>CORREL(B2:B14,D2:D14)</f>
        <v>0.9598070273</v>
      </c>
      <c r="S20" s="10"/>
      <c r="T20" s="10"/>
      <c r="U20" s="10"/>
    </row>
    <row r="21">
      <c r="A21" s="10"/>
      <c r="B21" s="10"/>
      <c r="C21" s="10"/>
      <c r="D21" s="10"/>
      <c r="E21" s="10"/>
      <c r="F21" s="10"/>
      <c r="G21" s="2" t="s">
        <v>61</v>
      </c>
      <c r="H21" s="15">
        <f>AVERAGE(J2:J14)</f>
        <v>0.05346577652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>
      <c r="A22" s="10"/>
      <c r="B22" s="10"/>
      <c r="C22" s="10"/>
      <c r="D22" s="10"/>
      <c r="E22" s="10"/>
      <c r="F22" s="10"/>
      <c r="G22" s="2" t="s">
        <v>62</v>
      </c>
      <c r="H22" s="8">
        <f>AVERAGE(K2:K14)</f>
        <v>15.75731538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>
      <c r="A23" s="10"/>
      <c r="B23" s="10"/>
      <c r="C23" s="10"/>
      <c r="D23" s="10"/>
      <c r="E23" s="10"/>
      <c r="F23" s="10"/>
      <c r="G23" s="2" t="s">
        <v>63</v>
      </c>
      <c r="H23" s="8">
        <f>AVERAGE(L2:L14)</f>
        <v>11.07577692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>
      <c r="A24" s="10"/>
      <c r="B24" s="10"/>
      <c r="C24" s="10"/>
      <c r="D24" s="10"/>
      <c r="E24" s="10"/>
      <c r="F24" s="10"/>
      <c r="G24" s="2" t="s">
        <v>64</v>
      </c>
      <c r="H24" s="8">
        <f t="shared" ref="H24:H25" si="51">SQRT(H22)</f>
        <v>3.969548511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>
      <c r="A25" s="10"/>
      <c r="B25" s="10"/>
      <c r="C25" s="10"/>
      <c r="D25" s="10"/>
      <c r="E25" s="10"/>
      <c r="F25" s="10"/>
      <c r="G25" s="2" t="s">
        <v>65</v>
      </c>
      <c r="H25" s="8">
        <f t="shared" si="51"/>
        <v>3.328028985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>
      <c r="A29" s="10" t="s">
        <v>71</v>
      </c>
      <c r="B29" s="8">
        <f>AVERAGE(B2:B14)</f>
        <v>56.38076923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>
      <c r="A30" s="10" t="s">
        <v>73</v>
      </c>
      <c r="B30" s="8">
        <f>AVERAGE(C2:C14)</f>
        <v>52.61538462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>
      <c r="A31" s="10" t="s">
        <v>74</v>
      </c>
      <c r="B31" s="8">
        <f>AVERAGE(D2:D14)</f>
        <v>58.07692308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</v>
      </c>
      <c r="C1" s="2" t="s">
        <v>8</v>
      </c>
      <c r="D1" s="2" t="s">
        <v>10</v>
      </c>
      <c r="E1" s="2" t="s">
        <v>13</v>
      </c>
      <c r="F1" s="2" t="s">
        <v>16</v>
      </c>
      <c r="G1" s="2" t="s">
        <v>19</v>
      </c>
      <c r="H1" s="2" t="s">
        <v>21</v>
      </c>
      <c r="I1" s="2" t="s">
        <v>22</v>
      </c>
      <c r="J1" s="2" t="s">
        <v>25</v>
      </c>
      <c r="K1" s="2" t="s">
        <v>27</v>
      </c>
      <c r="L1" s="2" t="s">
        <v>29</v>
      </c>
      <c r="M1" s="2" t="s">
        <v>32</v>
      </c>
      <c r="N1" s="2" t="s">
        <v>34</v>
      </c>
      <c r="O1" s="2" t="s">
        <v>35</v>
      </c>
    </row>
    <row r="2">
      <c r="A2" s="8">
        <v>1.0</v>
      </c>
      <c r="B2" s="8">
        <v>30.0</v>
      </c>
      <c r="C2" s="8">
        <v>30.02</v>
      </c>
      <c r="D2" s="8">
        <f t="shared" ref="D2:D31" si="3">C2-B2</f>
        <v>0.02</v>
      </c>
      <c r="E2" s="8">
        <f t="shared" ref="E2:E31" si="4">ABS(D2)</f>
        <v>0.02</v>
      </c>
      <c r="F2" s="15">
        <f t="shared" ref="F2:F31" si="5">E2/B2</f>
        <v>0.0006666666667</v>
      </c>
      <c r="G2" s="8">
        <f t="shared" ref="G2:G31" si="6">D2^2</f>
        <v>0.0004</v>
      </c>
      <c r="H2" s="8">
        <f t="shared" ref="H2:H31" si="7">B2*C2</f>
        <v>900.6</v>
      </c>
      <c r="I2" s="8">
        <f t="shared" ref="I2:J2" si="1">B2^2</f>
        <v>900</v>
      </c>
      <c r="J2" s="8">
        <f t="shared" si="1"/>
        <v>901.2004</v>
      </c>
      <c r="K2" s="8">
        <f t="shared" ref="K2:K31" si="9">B2-$D$34</f>
        <v>1.733333333</v>
      </c>
      <c r="L2" s="8">
        <f t="shared" ref="L2:L31" si="10">C2-$D$35</f>
        <v>1.914666667</v>
      </c>
      <c r="M2" s="8">
        <f t="shared" ref="M2:M31" si="11">L2*K2</f>
        <v>3.318755556</v>
      </c>
      <c r="N2" s="8">
        <f t="shared" ref="N2:O2" si="2">K2^2</f>
        <v>3.004444444</v>
      </c>
      <c r="O2" s="8">
        <f t="shared" si="2"/>
        <v>3.665948444</v>
      </c>
    </row>
    <row r="3">
      <c r="A3" s="8">
        <v>2.0</v>
      </c>
      <c r="B3" s="8">
        <v>30.0</v>
      </c>
      <c r="C3" s="8">
        <v>30.02</v>
      </c>
      <c r="D3" s="8">
        <f t="shared" si="3"/>
        <v>0.02</v>
      </c>
      <c r="E3" s="8">
        <f t="shared" si="4"/>
        <v>0.02</v>
      </c>
      <c r="F3" s="15">
        <f t="shared" si="5"/>
        <v>0.0006666666667</v>
      </c>
      <c r="G3" s="8">
        <f t="shared" si="6"/>
        <v>0.0004</v>
      </c>
      <c r="H3" s="8">
        <f t="shared" si="7"/>
        <v>900.6</v>
      </c>
      <c r="I3" s="8">
        <f t="shared" ref="I3:J3" si="8">B3^2</f>
        <v>900</v>
      </c>
      <c r="J3" s="8">
        <f t="shared" si="8"/>
        <v>901.2004</v>
      </c>
      <c r="K3" s="8">
        <f t="shared" si="9"/>
        <v>1.733333333</v>
      </c>
      <c r="L3" s="8">
        <f t="shared" si="10"/>
        <v>1.914666667</v>
      </c>
      <c r="M3" s="8">
        <f t="shared" si="11"/>
        <v>3.318755556</v>
      </c>
      <c r="N3" s="8">
        <f t="shared" ref="N3:O3" si="12">K3^2</f>
        <v>3.004444444</v>
      </c>
      <c r="O3" s="8">
        <f t="shared" si="12"/>
        <v>3.665948444</v>
      </c>
    </row>
    <row r="4">
      <c r="A4" s="8">
        <v>3.0</v>
      </c>
      <c r="B4" s="8">
        <v>30.0</v>
      </c>
      <c r="C4" s="8">
        <v>29.24</v>
      </c>
      <c r="D4" s="8">
        <f t="shared" si="3"/>
        <v>-0.76</v>
      </c>
      <c r="E4" s="8">
        <f t="shared" si="4"/>
        <v>0.76</v>
      </c>
      <c r="F4" s="15">
        <f t="shared" si="5"/>
        <v>0.02533333333</v>
      </c>
      <c r="G4" s="8">
        <f t="shared" si="6"/>
        <v>0.5776</v>
      </c>
      <c r="H4" s="8">
        <f t="shared" si="7"/>
        <v>877.2</v>
      </c>
      <c r="I4" s="8">
        <f t="shared" ref="I4:J4" si="13">B4^2</f>
        <v>900</v>
      </c>
      <c r="J4" s="8">
        <f t="shared" si="13"/>
        <v>854.9776</v>
      </c>
      <c r="K4" s="8">
        <f t="shared" si="9"/>
        <v>1.733333333</v>
      </c>
      <c r="L4" s="8">
        <f t="shared" si="10"/>
        <v>1.134666667</v>
      </c>
      <c r="M4" s="8">
        <f t="shared" si="11"/>
        <v>1.966755556</v>
      </c>
      <c r="N4" s="8">
        <f t="shared" ref="N4:O4" si="14">K4^2</f>
        <v>3.004444444</v>
      </c>
      <c r="O4" s="8">
        <f t="shared" si="14"/>
        <v>1.287468444</v>
      </c>
    </row>
    <row r="5">
      <c r="A5" s="8">
        <v>4.0</v>
      </c>
      <c r="B5" s="8">
        <v>30.0</v>
      </c>
      <c r="C5" s="8">
        <v>29.24</v>
      </c>
      <c r="D5" s="8">
        <f t="shared" si="3"/>
        <v>-0.76</v>
      </c>
      <c r="E5" s="8">
        <f t="shared" si="4"/>
        <v>0.76</v>
      </c>
      <c r="F5" s="15">
        <f t="shared" si="5"/>
        <v>0.02533333333</v>
      </c>
      <c r="G5" s="8">
        <f t="shared" si="6"/>
        <v>0.5776</v>
      </c>
      <c r="H5" s="8">
        <f t="shared" si="7"/>
        <v>877.2</v>
      </c>
      <c r="I5" s="8">
        <f t="shared" ref="I5:J5" si="15">B5^2</f>
        <v>900</v>
      </c>
      <c r="J5" s="8">
        <f t="shared" si="15"/>
        <v>854.9776</v>
      </c>
      <c r="K5" s="8">
        <f t="shared" si="9"/>
        <v>1.733333333</v>
      </c>
      <c r="L5" s="8">
        <f t="shared" si="10"/>
        <v>1.134666667</v>
      </c>
      <c r="M5" s="8">
        <f t="shared" si="11"/>
        <v>1.966755556</v>
      </c>
      <c r="N5" s="8">
        <f t="shared" ref="N5:O5" si="16">K5^2</f>
        <v>3.004444444</v>
      </c>
      <c r="O5" s="8">
        <f t="shared" si="16"/>
        <v>1.287468444</v>
      </c>
    </row>
    <row r="6">
      <c r="A6" s="8">
        <v>5.0</v>
      </c>
      <c r="B6" s="8">
        <v>30.0</v>
      </c>
      <c r="C6" s="8">
        <v>30.02</v>
      </c>
      <c r="D6" s="8">
        <f t="shared" si="3"/>
        <v>0.02</v>
      </c>
      <c r="E6" s="8">
        <f t="shared" si="4"/>
        <v>0.02</v>
      </c>
      <c r="F6" s="15">
        <f t="shared" si="5"/>
        <v>0.0006666666667</v>
      </c>
      <c r="G6" s="8">
        <f t="shared" si="6"/>
        <v>0.0004</v>
      </c>
      <c r="H6" s="8">
        <f t="shared" si="7"/>
        <v>900.6</v>
      </c>
      <c r="I6" s="8">
        <f t="shared" ref="I6:J6" si="17">B6^2</f>
        <v>900</v>
      </c>
      <c r="J6" s="8">
        <f t="shared" si="17"/>
        <v>901.2004</v>
      </c>
      <c r="K6" s="8">
        <f t="shared" si="9"/>
        <v>1.733333333</v>
      </c>
      <c r="L6" s="8">
        <f t="shared" si="10"/>
        <v>1.914666667</v>
      </c>
      <c r="M6" s="8">
        <f t="shared" si="11"/>
        <v>3.318755556</v>
      </c>
      <c r="N6" s="8">
        <f t="shared" ref="N6:O6" si="18">K6^2</f>
        <v>3.004444444</v>
      </c>
      <c r="O6" s="8">
        <f t="shared" si="18"/>
        <v>3.665948444</v>
      </c>
    </row>
    <row r="7">
      <c r="A7" s="8">
        <v>6.0</v>
      </c>
      <c r="B7" s="8">
        <v>30.0</v>
      </c>
      <c r="C7" s="8">
        <v>29.24</v>
      </c>
      <c r="D7" s="8">
        <f t="shared" si="3"/>
        <v>-0.76</v>
      </c>
      <c r="E7" s="8">
        <f t="shared" si="4"/>
        <v>0.76</v>
      </c>
      <c r="F7" s="15">
        <f t="shared" si="5"/>
        <v>0.02533333333</v>
      </c>
      <c r="G7" s="8">
        <f t="shared" si="6"/>
        <v>0.5776</v>
      </c>
      <c r="H7" s="8">
        <f t="shared" si="7"/>
        <v>877.2</v>
      </c>
      <c r="I7" s="8">
        <f t="shared" ref="I7:J7" si="19">B7^2</f>
        <v>900</v>
      </c>
      <c r="J7" s="8">
        <f t="shared" si="19"/>
        <v>854.9776</v>
      </c>
      <c r="K7" s="8">
        <f t="shared" si="9"/>
        <v>1.733333333</v>
      </c>
      <c r="L7" s="8">
        <f t="shared" si="10"/>
        <v>1.134666667</v>
      </c>
      <c r="M7" s="8">
        <f t="shared" si="11"/>
        <v>1.966755556</v>
      </c>
      <c r="N7" s="8">
        <f t="shared" ref="N7:O7" si="20">K7^2</f>
        <v>3.004444444</v>
      </c>
      <c r="O7" s="8">
        <f t="shared" si="20"/>
        <v>1.287468444</v>
      </c>
    </row>
    <row r="8">
      <c r="A8" s="8">
        <v>7.0</v>
      </c>
      <c r="B8" s="8">
        <v>30.0</v>
      </c>
      <c r="C8" s="8">
        <v>29.24</v>
      </c>
      <c r="D8" s="8">
        <f t="shared" si="3"/>
        <v>-0.76</v>
      </c>
      <c r="E8" s="8">
        <f t="shared" si="4"/>
        <v>0.76</v>
      </c>
      <c r="F8" s="15">
        <f t="shared" si="5"/>
        <v>0.02533333333</v>
      </c>
      <c r="G8" s="8">
        <f t="shared" si="6"/>
        <v>0.5776</v>
      </c>
      <c r="H8" s="8">
        <f t="shared" si="7"/>
        <v>877.2</v>
      </c>
      <c r="I8" s="8">
        <f t="shared" ref="I8:J8" si="21">B8^2</f>
        <v>900</v>
      </c>
      <c r="J8" s="8">
        <f t="shared" si="21"/>
        <v>854.9776</v>
      </c>
      <c r="K8" s="8">
        <f t="shared" si="9"/>
        <v>1.733333333</v>
      </c>
      <c r="L8" s="8">
        <f t="shared" si="10"/>
        <v>1.134666667</v>
      </c>
      <c r="M8" s="8">
        <f t="shared" si="11"/>
        <v>1.966755556</v>
      </c>
      <c r="N8" s="8">
        <f t="shared" ref="N8:O8" si="22">K8^2</f>
        <v>3.004444444</v>
      </c>
      <c r="O8" s="8">
        <f t="shared" si="22"/>
        <v>1.287468444</v>
      </c>
    </row>
    <row r="9">
      <c r="A9" s="8">
        <v>8.0</v>
      </c>
      <c r="B9" s="8">
        <v>30.0</v>
      </c>
      <c r="C9" s="8">
        <v>29.24</v>
      </c>
      <c r="D9" s="8">
        <f t="shared" si="3"/>
        <v>-0.76</v>
      </c>
      <c r="E9" s="8">
        <f t="shared" si="4"/>
        <v>0.76</v>
      </c>
      <c r="F9" s="15">
        <f t="shared" si="5"/>
        <v>0.02533333333</v>
      </c>
      <c r="G9" s="8">
        <f t="shared" si="6"/>
        <v>0.5776</v>
      </c>
      <c r="H9" s="8">
        <f t="shared" si="7"/>
        <v>877.2</v>
      </c>
      <c r="I9" s="8">
        <f t="shared" ref="I9:J9" si="23">B9^2</f>
        <v>900</v>
      </c>
      <c r="J9" s="8">
        <f t="shared" si="23"/>
        <v>854.9776</v>
      </c>
      <c r="K9" s="8">
        <f t="shared" si="9"/>
        <v>1.733333333</v>
      </c>
      <c r="L9" s="8">
        <f t="shared" si="10"/>
        <v>1.134666667</v>
      </c>
      <c r="M9" s="8">
        <f t="shared" si="11"/>
        <v>1.966755556</v>
      </c>
      <c r="N9" s="8">
        <f t="shared" ref="N9:O9" si="24">K9^2</f>
        <v>3.004444444</v>
      </c>
      <c r="O9" s="8">
        <f t="shared" si="24"/>
        <v>1.287468444</v>
      </c>
    </row>
    <row r="10">
      <c r="A10" s="8">
        <v>9.0</v>
      </c>
      <c r="B10" s="8">
        <v>30.0</v>
      </c>
      <c r="C10" s="8">
        <v>29.22</v>
      </c>
      <c r="D10" s="8">
        <f t="shared" si="3"/>
        <v>-0.78</v>
      </c>
      <c r="E10" s="8">
        <f t="shared" si="4"/>
        <v>0.78</v>
      </c>
      <c r="F10" s="15">
        <f t="shared" si="5"/>
        <v>0.026</v>
      </c>
      <c r="G10" s="8">
        <f t="shared" si="6"/>
        <v>0.6084</v>
      </c>
      <c r="H10" s="8">
        <f t="shared" si="7"/>
        <v>876.6</v>
      </c>
      <c r="I10" s="8">
        <f t="shared" ref="I10:J10" si="25">B10^2</f>
        <v>900</v>
      </c>
      <c r="J10" s="8">
        <f t="shared" si="25"/>
        <v>853.8084</v>
      </c>
      <c r="K10" s="8">
        <f t="shared" si="9"/>
        <v>1.733333333</v>
      </c>
      <c r="L10" s="8">
        <f t="shared" si="10"/>
        <v>1.114666667</v>
      </c>
      <c r="M10" s="8">
        <f t="shared" si="11"/>
        <v>1.932088889</v>
      </c>
      <c r="N10" s="8">
        <f t="shared" ref="N10:O10" si="26">K10^2</f>
        <v>3.004444444</v>
      </c>
      <c r="O10" s="8">
        <f t="shared" si="26"/>
        <v>1.242481778</v>
      </c>
    </row>
    <row r="11">
      <c r="A11" s="8">
        <v>10.0</v>
      </c>
      <c r="B11" s="8">
        <v>30.0</v>
      </c>
      <c r="C11" s="8">
        <v>29.24</v>
      </c>
      <c r="D11" s="8">
        <f t="shared" si="3"/>
        <v>-0.76</v>
      </c>
      <c r="E11" s="8">
        <f t="shared" si="4"/>
        <v>0.76</v>
      </c>
      <c r="F11" s="15">
        <f t="shared" si="5"/>
        <v>0.02533333333</v>
      </c>
      <c r="G11" s="8">
        <f t="shared" si="6"/>
        <v>0.5776</v>
      </c>
      <c r="H11" s="8">
        <f t="shared" si="7"/>
        <v>877.2</v>
      </c>
      <c r="I11" s="8">
        <f t="shared" ref="I11:J11" si="27">B11^2</f>
        <v>900</v>
      </c>
      <c r="J11" s="8">
        <f t="shared" si="27"/>
        <v>854.9776</v>
      </c>
      <c r="K11" s="8">
        <f t="shared" si="9"/>
        <v>1.733333333</v>
      </c>
      <c r="L11" s="8">
        <f t="shared" si="10"/>
        <v>1.134666667</v>
      </c>
      <c r="M11" s="8">
        <f t="shared" si="11"/>
        <v>1.966755556</v>
      </c>
      <c r="N11" s="8">
        <f t="shared" ref="N11:O11" si="28">K11^2</f>
        <v>3.004444444</v>
      </c>
      <c r="O11" s="8">
        <f t="shared" si="28"/>
        <v>1.287468444</v>
      </c>
    </row>
    <row r="12">
      <c r="A12" s="8">
        <v>11.0</v>
      </c>
      <c r="B12" s="8">
        <v>28.0</v>
      </c>
      <c r="C12" s="8">
        <v>28.12</v>
      </c>
      <c r="D12" s="8">
        <f t="shared" si="3"/>
        <v>0.12</v>
      </c>
      <c r="E12" s="8">
        <f t="shared" si="4"/>
        <v>0.12</v>
      </c>
      <c r="F12" s="15">
        <f t="shared" si="5"/>
        <v>0.004285714286</v>
      </c>
      <c r="G12" s="8">
        <f t="shared" si="6"/>
        <v>0.0144</v>
      </c>
      <c r="H12" s="8">
        <f t="shared" si="7"/>
        <v>787.36</v>
      </c>
      <c r="I12" s="8">
        <f t="shared" ref="I12:J12" si="29">B12^2</f>
        <v>784</v>
      </c>
      <c r="J12" s="8">
        <f t="shared" si="29"/>
        <v>790.7344</v>
      </c>
      <c r="K12" s="8">
        <f t="shared" si="9"/>
        <v>-0.2666666667</v>
      </c>
      <c r="L12" s="8">
        <f t="shared" si="10"/>
        <v>0.01466666667</v>
      </c>
      <c r="M12" s="8">
        <f t="shared" si="11"/>
        <v>-0.003911111111</v>
      </c>
      <c r="N12" s="8">
        <f t="shared" ref="N12:O12" si="30">K12^2</f>
        <v>0.07111111111</v>
      </c>
      <c r="O12" s="8">
        <f t="shared" si="30"/>
        <v>0.0002151111111</v>
      </c>
    </row>
    <row r="13">
      <c r="A13" s="8">
        <v>12.0</v>
      </c>
      <c r="B13" s="8">
        <v>28.0</v>
      </c>
      <c r="C13" s="8">
        <v>28.1</v>
      </c>
      <c r="D13" s="8">
        <f t="shared" si="3"/>
        <v>0.1</v>
      </c>
      <c r="E13" s="8">
        <f t="shared" si="4"/>
        <v>0.1</v>
      </c>
      <c r="F13" s="15">
        <f t="shared" si="5"/>
        <v>0.003571428571</v>
      </c>
      <c r="G13" s="8">
        <f t="shared" si="6"/>
        <v>0.01</v>
      </c>
      <c r="H13" s="8">
        <f t="shared" si="7"/>
        <v>786.8</v>
      </c>
      <c r="I13" s="8">
        <f t="shared" ref="I13:J13" si="31">B13^2</f>
        <v>784</v>
      </c>
      <c r="J13" s="8">
        <f t="shared" si="31"/>
        <v>789.61</v>
      </c>
      <c r="K13" s="8">
        <f t="shared" si="9"/>
        <v>-0.2666666667</v>
      </c>
      <c r="L13" s="8">
        <f t="shared" si="10"/>
        <v>-0.005333333333</v>
      </c>
      <c r="M13" s="8">
        <f t="shared" si="11"/>
        <v>0.001422222222</v>
      </c>
      <c r="N13" s="8">
        <f t="shared" ref="N13:O13" si="32">K13^2</f>
        <v>0.07111111111</v>
      </c>
      <c r="O13" s="8">
        <f t="shared" si="32"/>
        <v>0.00002844444444</v>
      </c>
    </row>
    <row r="14">
      <c r="A14" s="8">
        <v>13.0</v>
      </c>
      <c r="B14" s="8">
        <v>28.0</v>
      </c>
      <c r="C14" s="8">
        <v>28.12</v>
      </c>
      <c r="D14" s="8">
        <f t="shared" si="3"/>
        <v>0.12</v>
      </c>
      <c r="E14" s="8">
        <f t="shared" si="4"/>
        <v>0.12</v>
      </c>
      <c r="F14" s="15">
        <f t="shared" si="5"/>
        <v>0.004285714286</v>
      </c>
      <c r="G14" s="8">
        <f t="shared" si="6"/>
        <v>0.0144</v>
      </c>
      <c r="H14" s="8">
        <f t="shared" si="7"/>
        <v>787.36</v>
      </c>
      <c r="I14" s="8">
        <f t="shared" ref="I14:J14" si="33">B14^2</f>
        <v>784</v>
      </c>
      <c r="J14" s="8">
        <f t="shared" si="33"/>
        <v>790.7344</v>
      </c>
      <c r="K14" s="8">
        <f t="shared" si="9"/>
        <v>-0.2666666667</v>
      </c>
      <c r="L14" s="8">
        <f t="shared" si="10"/>
        <v>0.01466666667</v>
      </c>
      <c r="M14" s="8">
        <f t="shared" si="11"/>
        <v>-0.003911111111</v>
      </c>
      <c r="N14" s="8">
        <f t="shared" ref="N14:O14" si="34">K14^2</f>
        <v>0.07111111111</v>
      </c>
      <c r="O14" s="8">
        <f t="shared" si="34"/>
        <v>0.0002151111111</v>
      </c>
    </row>
    <row r="15">
      <c r="A15" s="8">
        <v>14.0</v>
      </c>
      <c r="B15" s="8">
        <v>28.0</v>
      </c>
      <c r="C15" s="8">
        <v>28.12</v>
      </c>
      <c r="D15" s="8">
        <f t="shared" si="3"/>
        <v>0.12</v>
      </c>
      <c r="E15" s="8">
        <f t="shared" si="4"/>
        <v>0.12</v>
      </c>
      <c r="F15" s="15">
        <f t="shared" si="5"/>
        <v>0.004285714286</v>
      </c>
      <c r="G15" s="8">
        <f t="shared" si="6"/>
        <v>0.0144</v>
      </c>
      <c r="H15" s="8">
        <f t="shared" si="7"/>
        <v>787.36</v>
      </c>
      <c r="I15" s="8">
        <f t="shared" ref="I15:J15" si="35">B15^2</f>
        <v>784</v>
      </c>
      <c r="J15" s="8">
        <f t="shared" si="35"/>
        <v>790.7344</v>
      </c>
      <c r="K15" s="8">
        <f t="shared" si="9"/>
        <v>-0.2666666667</v>
      </c>
      <c r="L15" s="8">
        <f t="shared" si="10"/>
        <v>0.01466666667</v>
      </c>
      <c r="M15" s="8">
        <f t="shared" si="11"/>
        <v>-0.003911111111</v>
      </c>
      <c r="N15" s="8">
        <f t="shared" ref="N15:O15" si="36">K15^2</f>
        <v>0.07111111111</v>
      </c>
      <c r="O15" s="8">
        <f t="shared" si="36"/>
        <v>0.0002151111111</v>
      </c>
    </row>
    <row r="16">
      <c r="A16" s="8">
        <v>15.0</v>
      </c>
      <c r="B16" s="8">
        <v>28.0</v>
      </c>
      <c r="C16" s="8">
        <v>28.1</v>
      </c>
      <c r="D16" s="8">
        <f t="shared" si="3"/>
        <v>0.1</v>
      </c>
      <c r="E16" s="8">
        <f t="shared" si="4"/>
        <v>0.1</v>
      </c>
      <c r="F16" s="15">
        <f t="shared" si="5"/>
        <v>0.003571428571</v>
      </c>
      <c r="G16" s="8">
        <f t="shared" si="6"/>
        <v>0.01</v>
      </c>
      <c r="H16" s="8">
        <f t="shared" si="7"/>
        <v>786.8</v>
      </c>
      <c r="I16" s="8">
        <f t="shared" ref="I16:J16" si="37">B16^2</f>
        <v>784</v>
      </c>
      <c r="J16" s="8">
        <f t="shared" si="37"/>
        <v>789.61</v>
      </c>
      <c r="K16" s="8">
        <f t="shared" si="9"/>
        <v>-0.2666666667</v>
      </c>
      <c r="L16" s="8">
        <f t="shared" si="10"/>
        <v>-0.005333333333</v>
      </c>
      <c r="M16" s="8">
        <f t="shared" si="11"/>
        <v>0.001422222222</v>
      </c>
      <c r="N16" s="8">
        <f t="shared" ref="N16:O16" si="38">K16^2</f>
        <v>0.07111111111</v>
      </c>
      <c r="O16" s="8">
        <f t="shared" si="38"/>
        <v>0.00002844444444</v>
      </c>
    </row>
    <row r="17">
      <c r="A17" s="8">
        <v>16.0</v>
      </c>
      <c r="B17" s="8">
        <v>28.0</v>
      </c>
      <c r="C17" s="8">
        <v>28.12</v>
      </c>
      <c r="D17" s="8">
        <f t="shared" si="3"/>
        <v>0.12</v>
      </c>
      <c r="E17" s="8">
        <f t="shared" si="4"/>
        <v>0.12</v>
      </c>
      <c r="F17" s="15">
        <f t="shared" si="5"/>
        <v>0.004285714286</v>
      </c>
      <c r="G17" s="8">
        <f t="shared" si="6"/>
        <v>0.0144</v>
      </c>
      <c r="H17" s="8">
        <f t="shared" si="7"/>
        <v>787.36</v>
      </c>
      <c r="I17" s="8">
        <f t="shared" ref="I17:J17" si="39">B17^2</f>
        <v>784</v>
      </c>
      <c r="J17" s="8">
        <f t="shared" si="39"/>
        <v>790.7344</v>
      </c>
      <c r="K17" s="8">
        <f t="shared" si="9"/>
        <v>-0.2666666667</v>
      </c>
      <c r="L17" s="8">
        <f t="shared" si="10"/>
        <v>0.01466666667</v>
      </c>
      <c r="M17" s="8">
        <f t="shared" si="11"/>
        <v>-0.003911111111</v>
      </c>
      <c r="N17" s="8">
        <f t="shared" ref="N17:O17" si="40">K17^2</f>
        <v>0.07111111111</v>
      </c>
      <c r="O17" s="8">
        <f t="shared" si="40"/>
        <v>0.0002151111111</v>
      </c>
    </row>
    <row r="18">
      <c r="A18" s="8">
        <v>17.0</v>
      </c>
      <c r="B18" s="8">
        <v>28.0</v>
      </c>
      <c r="C18" s="8">
        <v>28.12</v>
      </c>
      <c r="D18" s="8">
        <f t="shared" si="3"/>
        <v>0.12</v>
      </c>
      <c r="E18" s="8">
        <f t="shared" si="4"/>
        <v>0.12</v>
      </c>
      <c r="F18" s="15">
        <f t="shared" si="5"/>
        <v>0.004285714286</v>
      </c>
      <c r="G18" s="8">
        <f t="shared" si="6"/>
        <v>0.0144</v>
      </c>
      <c r="H18" s="8">
        <f t="shared" si="7"/>
        <v>787.36</v>
      </c>
      <c r="I18" s="8">
        <f t="shared" ref="I18:J18" si="41">B18^2</f>
        <v>784</v>
      </c>
      <c r="J18" s="8">
        <f t="shared" si="41"/>
        <v>790.7344</v>
      </c>
      <c r="K18" s="8">
        <f t="shared" si="9"/>
        <v>-0.2666666667</v>
      </c>
      <c r="L18" s="8">
        <f t="shared" si="10"/>
        <v>0.01466666667</v>
      </c>
      <c r="M18" s="8">
        <f t="shared" si="11"/>
        <v>-0.003911111111</v>
      </c>
      <c r="N18" s="8">
        <f t="shared" ref="N18:O18" si="42">K18^2</f>
        <v>0.07111111111</v>
      </c>
      <c r="O18" s="8">
        <f t="shared" si="42"/>
        <v>0.0002151111111</v>
      </c>
    </row>
    <row r="19">
      <c r="A19" s="8">
        <v>18.0</v>
      </c>
      <c r="B19" s="8">
        <v>28.0</v>
      </c>
      <c r="C19" s="8">
        <v>28.12</v>
      </c>
      <c r="D19" s="8">
        <f t="shared" si="3"/>
        <v>0.12</v>
      </c>
      <c r="E19" s="8">
        <f t="shared" si="4"/>
        <v>0.12</v>
      </c>
      <c r="F19" s="15">
        <f t="shared" si="5"/>
        <v>0.004285714286</v>
      </c>
      <c r="G19" s="8">
        <f t="shared" si="6"/>
        <v>0.0144</v>
      </c>
      <c r="H19" s="8">
        <f t="shared" si="7"/>
        <v>787.36</v>
      </c>
      <c r="I19" s="8">
        <f t="shared" ref="I19:J19" si="43">B19^2</f>
        <v>784</v>
      </c>
      <c r="J19" s="8">
        <f t="shared" si="43"/>
        <v>790.7344</v>
      </c>
      <c r="K19" s="8">
        <f t="shared" si="9"/>
        <v>-0.2666666667</v>
      </c>
      <c r="L19" s="8">
        <f t="shared" si="10"/>
        <v>0.01466666667</v>
      </c>
      <c r="M19" s="8">
        <f t="shared" si="11"/>
        <v>-0.003911111111</v>
      </c>
      <c r="N19" s="8">
        <f t="shared" ref="N19:O19" si="44">K19^2</f>
        <v>0.07111111111</v>
      </c>
      <c r="O19" s="8">
        <f t="shared" si="44"/>
        <v>0.0002151111111</v>
      </c>
    </row>
    <row r="20">
      <c r="A20" s="8">
        <v>19.0</v>
      </c>
      <c r="B20" s="8">
        <v>28.0</v>
      </c>
      <c r="C20" s="8">
        <v>28.12</v>
      </c>
      <c r="D20" s="8">
        <f t="shared" si="3"/>
        <v>0.12</v>
      </c>
      <c r="E20" s="8">
        <f t="shared" si="4"/>
        <v>0.12</v>
      </c>
      <c r="F20" s="15">
        <f t="shared" si="5"/>
        <v>0.004285714286</v>
      </c>
      <c r="G20" s="8">
        <f t="shared" si="6"/>
        <v>0.0144</v>
      </c>
      <c r="H20" s="8">
        <f t="shared" si="7"/>
        <v>787.36</v>
      </c>
      <c r="I20" s="8">
        <f t="shared" ref="I20:J20" si="45">B20^2</f>
        <v>784</v>
      </c>
      <c r="J20" s="8">
        <f t="shared" si="45"/>
        <v>790.7344</v>
      </c>
      <c r="K20" s="8">
        <f t="shared" si="9"/>
        <v>-0.2666666667</v>
      </c>
      <c r="L20" s="8">
        <f t="shared" si="10"/>
        <v>0.01466666667</v>
      </c>
      <c r="M20" s="8">
        <f t="shared" si="11"/>
        <v>-0.003911111111</v>
      </c>
      <c r="N20" s="8">
        <f t="shared" ref="N20:O20" si="46">K20^2</f>
        <v>0.07111111111</v>
      </c>
      <c r="O20" s="8">
        <f t="shared" si="46"/>
        <v>0.0002151111111</v>
      </c>
    </row>
    <row r="21">
      <c r="A21" s="8">
        <v>20.0</v>
      </c>
      <c r="B21" s="8">
        <v>28.0</v>
      </c>
      <c r="C21" s="8">
        <v>28.12</v>
      </c>
      <c r="D21" s="8">
        <f t="shared" si="3"/>
        <v>0.12</v>
      </c>
      <c r="E21" s="8">
        <f t="shared" si="4"/>
        <v>0.12</v>
      </c>
      <c r="F21" s="15">
        <f t="shared" si="5"/>
        <v>0.004285714286</v>
      </c>
      <c r="G21" s="8">
        <f t="shared" si="6"/>
        <v>0.0144</v>
      </c>
      <c r="H21" s="8">
        <f t="shared" si="7"/>
        <v>787.36</v>
      </c>
      <c r="I21" s="8">
        <f t="shared" ref="I21:J21" si="47">B21^2</f>
        <v>784</v>
      </c>
      <c r="J21" s="8">
        <f t="shared" si="47"/>
        <v>790.7344</v>
      </c>
      <c r="K21" s="8">
        <f t="shared" si="9"/>
        <v>-0.2666666667</v>
      </c>
      <c r="L21" s="8">
        <f t="shared" si="10"/>
        <v>0.01466666667</v>
      </c>
      <c r="M21" s="8">
        <f t="shared" si="11"/>
        <v>-0.003911111111</v>
      </c>
      <c r="N21" s="8">
        <f t="shared" ref="N21:O21" si="48">K21^2</f>
        <v>0.07111111111</v>
      </c>
      <c r="O21" s="8">
        <f t="shared" si="48"/>
        <v>0.0002151111111</v>
      </c>
    </row>
    <row r="22">
      <c r="A22" s="8">
        <v>21.0</v>
      </c>
      <c r="B22" s="8">
        <v>26.8</v>
      </c>
      <c r="C22" s="8">
        <v>26.96</v>
      </c>
      <c r="D22" s="8">
        <f t="shared" si="3"/>
        <v>0.16</v>
      </c>
      <c r="E22" s="8">
        <f t="shared" si="4"/>
        <v>0.16</v>
      </c>
      <c r="F22" s="15">
        <f t="shared" si="5"/>
        <v>0.005970149254</v>
      </c>
      <c r="G22" s="8">
        <f t="shared" si="6"/>
        <v>0.0256</v>
      </c>
      <c r="H22" s="8">
        <f t="shared" si="7"/>
        <v>722.528</v>
      </c>
      <c r="I22" s="8">
        <f t="shared" ref="I22:J22" si="49">B22^2</f>
        <v>718.24</v>
      </c>
      <c r="J22" s="8">
        <f t="shared" si="49"/>
        <v>726.8416</v>
      </c>
      <c r="K22" s="8">
        <f t="shared" si="9"/>
        <v>-1.466666667</v>
      </c>
      <c r="L22" s="8">
        <f t="shared" si="10"/>
        <v>-1.145333333</v>
      </c>
      <c r="M22" s="8">
        <f t="shared" si="11"/>
        <v>1.679822222</v>
      </c>
      <c r="N22" s="8">
        <f t="shared" ref="N22:O22" si="50">K22^2</f>
        <v>2.151111111</v>
      </c>
      <c r="O22" s="8">
        <f t="shared" si="50"/>
        <v>1.311788444</v>
      </c>
    </row>
    <row r="23">
      <c r="A23" s="8">
        <v>22.0</v>
      </c>
      <c r="B23" s="8">
        <v>26.8</v>
      </c>
      <c r="C23" s="8">
        <v>26.96</v>
      </c>
      <c r="D23" s="8">
        <f t="shared" si="3"/>
        <v>0.16</v>
      </c>
      <c r="E23" s="8">
        <f t="shared" si="4"/>
        <v>0.16</v>
      </c>
      <c r="F23" s="15">
        <f t="shared" si="5"/>
        <v>0.005970149254</v>
      </c>
      <c r="G23" s="8">
        <f t="shared" si="6"/>
        <v>0.0256</v>
      </c>
      <c r="H23" s="8">
        <f t="shared" si="7"/>
        <v>722.528</v>
      </c>
      <c r="I23" s="8">
        <f t="shared" ref="I23:J23" si="51">B23^2</f>
        <v>718.24</v>
      </c>
      <c r="J23" s="8">
        <f t="shared" si="51"/>
        <v>726.8416</v>
      </c>
      <c r="K23" s="8">
        <f t="shared" si="9"/>
        <v>-1.466666667</v>
      </c>
      <c r="L23" s="8">
        <f t="shared" si="10"/>
        <v>-1.145333333</v>
      </c>
      <c r="M23" s="8">
        <f t="shared" si="11"/>
        <v>1.679822222</v>
      </c>
      <c r="N23" s="8">
        <f t="shared" ref="N23:O23" si="52">K23^2</f>
        <v>2.151111111</v>
      </c>
      <c r="O23" s="8">
        <f t="shared" si="52"/>
        <v>1.311788444</v>
      </c>
    </row>
    <row r="24">
      <c r="A24" s="8">
        <v>23.0</v>
      </c>
      <c r="B24" s="8">
        <v>26.8</v>
      </c>
      <c r="C24" s="8">
        <v>26.67</v>
      </c>
      <c r="D24" s="8">
        <f t="shared" si="3"/>
        <v>-0.13</v>
      </c>
      <c r="E24" s="8">
        <f t="shared" si="4"/>
        <v>0.13</v>
      </c>
      <c r="F24" s="15">
        <f t="shared" si="5"/>
        <v>0.004850746269</v>
      </c>
      <c r="G24" s="8">
        <f t="shared" si="6"/>
        <v>0.0169</v>
      </c>
      <c r="H24" s="8">
        <f t="shared" si="7"/>
        <v>714.756</v>
      </c>
      <c r="I24" s="8">
        <f t="shared" ref="I24:J24" si="53">B24^2</f>
        <v>718.24</v>
      </c>
      <c r="J24" s="8">
        <f t="shared" si="53"/>
        <v>711.2889</v>
      </c>
      <c r="K24" s="8">
        <f t="shared" si="9"/>
        <v>-1.466666667</v>
      </c>
      <c r="L24" s="8">
        <f t="shared" si="10"/>
        <v>-1.435333333</v>
      </c>
      <c r="M24" s="8">
        <f t="shared" si="11"/>
        <v>2.105155556</v>
      </c>
      <c r="N24" s="8">
        <f t="shared" ref="N24:O24" si="54">K24^2</f>
        <v>2.151111111</v>
      </c>
      <c r="O24" s="8">
        <f t="shared" si="54"/>
        <v>2.060181778</v>
      </c>
    </row>
    <row r="25">
      <c r="A25" s="8">
        <v>24.0</v>
      </c>
      <c r="B25" s="8">
        <v>26.8</v>
      </c>
      <c r="C25" s="8">
        <v>26.67</v>
      </c>
      <c r="D25" s="8">
        <f t="shared" si="3"/>
        <v>-0.13</v>
      </c>
      <c r="E25" s="8">
        <f t="shared" si="4"/>
        <v>0.13</v>
      </c>
      <c r="F25" s="15">
        <f t="shared" si="5"/>
        <v>0.004850746269</v>
      </c>
      <c r="G25" s="8">
        <f t="shared" si="6"/>
        <v>0.0169</v>
      </c>
      <c r="H25" s="8">
        <f t="shared" si="7"/>
        <v>714.756</v>
      </c>
      <c r="I25" s="8">
        <f t="shared" ref="I25:J25" si="55">B25^2</f>
        <v>718.24</v>
      </c>
      <c r="J25" s="8">
        <f t="shared" si="55"/>
        <v>711.2889</v>
      </c>
      <c r="K25" s="8">
        <f t="shared" si="9"/>
        <v>-1.466666667</v>
      </c>
      <c r="L25" s="8">
        <f t="shared" si="10"/>
        <v>-1.435333333</v>
      </c>
      <c r="M25" s="8">
        <f t="shared" si="11"/>
        <v>2.105155556</v>
      </c>
      <c r="N25" s="8">
        <f t="shared" ref="N25:O25" si="56">K25^2</f>
        <v>2.151111111</v>
      </c>
      <c r="O25" s="8">
        <f t="shared" si="56"/>
        <v>2.060181778</v>
      </c>
    </row>
    <row r="26">
      <c r="A26" s="8">
        <v>25.0</v>
      </c>
      <c r="B26" s="8">
        <v>26.8</v>
      </c>
      <c r="C26" s="8">
        <v>26.67</v>
      </c>
      <c r="D26" s="8">
        <f t="shared" si="3"/>
        <v>-0.13</v>
      </c>
      <c r="E26" s="8">
        <f t="shared" si="4"/>
        <v>0.13</v>
      </c>
      <c r="F26" s="15">
        <f t="shared" si="5"/>
        <v>0.004850746269</v>
      </c>
      <c r="G26" s="8">
        <f t="shared" si="6"/>
        <v>0.0169</v>
      </c>
      <c r="H26" s="8">
        <f t="shared" si="7"/>
        <v>714.756</v>
      </c>
      <c r="I26" s="8">
        <f t="shared" ref="I26:J26" si="57">B26^2</f>
        <v>718.24</v>
      </c>
      <c r="J26" s="8">
        <f t="shared" si="57"/>
        <v>711.2889</v>
      </c>
      <c r="K26" s="8">
        <f t="shared" si="9"/>
        <v>-1.466666667</v>
      </c>
      <c r="L26" s="8">
        <f t="shared" si="10"/>
        <v>-1.435333333</v>
      </c>
      <c r="M26" s="8">
        <f t="shared" si="11"/>
        <v>2.105155556</v>
      </c>
      <c r="N26" s="8">
        <f t="shared" ref="N26:O26" si="58">K26^2</f>
        <v>2.151111111</v>
      </c>
      <c r="O26" s="8">
        <f t="shared" si="58"/>
        <v>2.060181778</v>
      </c>
    </row>
    <row r="27">
      <c r="A27" s="8">
        <v>26.0</v>
      </c>
      <c r="B27" s="8">
        <v>26.8</v>
      </c>
      <c r="C27" s="8">
        <v>26.67</v>
      </c>
      <c r="D27" s="8">
        <f t="shared" si="3"/>
        <v>-0.13</v>
      </c>
      <c r="E27" s="8">
        <f t="shared" si="4"/>
        <v>0.13</v>
      </c>
      <c r="F27" s="15">
        <f t="shared" si="5"/>
        <v>0.004850746269</v>
      </c>
      <c r="G27" s="8">
        <f t="shared" si="6"/>
        <v>0.0169</v>
      </c>
      <c r="H27" s="8">
        <f t="shared" si="7"/>
        <v>714.756</v>
      </c>
      <c r="I27" s="8">
        <f t="shared" ref="I27:J27" si="59">B27^2</f>
        <v>718.24</v>
      </c>
      <c r="J27" s="8">
        <f t="shared" si="59"/>
        <v>711.2889</v>
      </c>
      <c r="K27" s="8">
        <f t="shared" si="9"/>
        <v>-1.466666667</v>
      </c>
      <c r="L27" s="8">
        <f t="shared" si="10"/>
        <v>-1.435333333</v>
      </c>
      <c r="M27" s="8">
        <f t="shared" si="11"/>
        <v>2.105155556</v>
      </c>
      <c r="N27" s="8">
        <f t="shared" ref="N27:O27" si="60">K27^2</f>
        <v>2.151111111</v>
      </c>
      <c r="O27" s="8">
        <f t="shared" si="60"/>
        <v>2.060181778</v>
      </c>
    </row>
    <row r="28">
      <c r="A28" s="8">
        <v>27.0</v>
      </c>
      <c r="B28" s="8">
        <v>26.8</v>
      </c>
      <c r="C28" s="8">
        <v>26.67</v>
      </c>
      <c r="D28" s="8">
        <f t="shared" si="3"/>
        <v>-0.13</v>
      </c>
      <c r="E28" s="8">
        <f t="shared" si="4"/>
        <v>0.13</v>
      </c>
      <c r="F28" s="15">
        <f t="shared" si="5"/>
        <v>0.004850746269</v>
      </c>
      <c r="G28" s="8">
        <f t="shared" si="6"/>
        <v>0.0169</v>
      </c>
      <c r="H28" s="8">
        <f t="shared" si="7"/>
        <v>714.756</v>
      </c>
      <c r="I28" s="8">
        <f t="shared" ref="I28:J28" si="61">B28^2</f>
        <v>718.24</v>
      </c>
      <c r="J28" s="8">
        <f t="shared" si="61"/>
        <v>711.2889</v>
      </c>
      <c r="K28" s="8">
        <f t="shared" si="9"/>
        <v>-1.466666667</v>
      </c>
      <c r="L28" s="8">
        <f t="shared" si="10"/>
        <v>-1.435333333</v>
      </c>
      <c r="M28" s="8">
        <f t="shared" si="11"/>
        <v>2.105155556</v>
      </c>
      <c r="N28" s="8">
        <f t="shared" ref="N28:O28" si="62">K28^2</f>
        <v>2.151111111</v>
      </c>
      <c r="O28" s="8">
        <f t="shared" si="62"/>
        <v>2.060181778</v>
      </c>
    </row>
    <row r="29">
      <c r="A29" s="8">
        <v>28.0</v>
      </c>
      <c r="B29" s="8">
        <v>26.8</v>
      </c>
      <c r="C29" s="8">
        <v>26.67</v>
      </c>
      <c r="D29" s="8">
        <f t="shared" si="3"/>
        <v>-0.13</v>
      </c>
      <c r="E29" s="8">
        <f t="shared" si="4"/>
        <v>0.13</v>
      </c>
      <c r="F29" s="15">
        <f t="shared" si="5"/>
        <v>0.004850746269</v>
      </c>
      <c r="G29" s="8">
        <f t="shared" si="6"/>
        <v>0.0169</v>
      </c>
      <c r="H29" s="8">
        <f t="shared" si="7"/>
        <v>714.756</v>
      </c>
      <c r="I29" s="8">
        <f t="shared" ref="I29:J29" si="63">B29^2</f>
        <v>718.24</v>
      </c>
      <c r="J29" s="8">
        <f t="shared" si="63"/>
        <v>711.2889</v>
      </c>
      <c r="K29" s="8">
        <f t="shared" si="9"/>
        <v>-1.466666667</v>
      </c>
      <c r="L29" s="8">
        <f t="shared" si="10"/>
        <v>-1.435333333</v>
      </c>
      <c r="M29" s="8">
        <f t="shared" si="11"/>
        <v>2.105155556</v>
      </c>
      <c r="N29" s="8">
        <f t="shared" ref="N29:O29" si="64">K29^2</f>
        <v>2.151111111</v>
      </c>
      <c r="O29" s="8">
        <f t="shared" si="64"/>
        <v>2.060181778</v>
      </c>
    </row>
    <row r="30">
      <c r="A30" s="8">
        <v>29.0</v>
      </c>
      <c r="B30" s="8">
        <v>26.8</v>
      </c>
      <c r="C30" s="8">
        <v>26.67</v>
      </c>
      <c r="D30" s="8">
        <f t="shared" si="3"/>
        <v>-0.13</v>
      </c>
      <c r="E30" s="8">
        <f t="shared" si="4"/>
        <v>0.13</v>
      </c>
      <c r="F30" s="15">
        <f t="shared" si="5"/>
        <v>0.004850746269</v>
      </c>
      <c r="G30" s="8">
        <f t="shared" si="6"/>
        <v>0.0169</v>
      </c>
      <c r="H30" s="8">
        <f t="shared" si="7"/>
        <v>714.756</v>
      </c>
      <c r="I30" s="8">
        <f t="shared" ref="I30:J30" si="65">B30^2</f>
        <v>718.24</v>
      </c>
      <c r="J30" s="8">
        <f t="shared" si="65"/>
        <v>711.2889</v>
      </c>
      <c r="K30" s="8">
        <f t="shared" si="9"/>
        <v>-1.466666667</v>
      </c>
      <c r="L30" s="8">
        <f t="shared" si="10"/>
        <v>-1.435333333</v>
      </c>
      <c r="M30" s="8">
        <f t="shared" si="11"/>
        <v>2.105155556</v>
      </c>
      <c r="N30" s="8">
        <f t="shared" ref="N30:O30" si="66">K30^2</f>
        <v>2.151111111</v>
      </c>
      <c r="O30" s="8">
        <f t="shared" si="66"/>
        <v>2.060181778</v>
      </c>
    </row>
    <row r="31">
      <c r="A31" s="8">
        <v>30.0</v>
      </c>
      <c r="B31" s="8">
        <v>26.8</v>
      </c>
      <c r="C31" s="8">
        <v>26.67</v>
      </c>
      <c r="D31" s="8">
        <f t="shared" si="3"/>
        <v>-0.13</v>
      </c>
      <c r="E31" s="8">
        <f t="shared" si="4"/>
        <v>0.13</v>
      </c>
      <c r="F31" s="15">
        <f t="shared" si="5"/>
        <v>0.004850746269</v>
      </c>
      <c r="G31" s="8">
        <f t="shared" si="6"/>
        <v>0.0169</v>
      </c>
      <c r="H31" s="8">
        <f t="shared" si="7"/>
        <v>714.756</v>
      </c>
      <c r="I31" s="8">
        <f t="shared" ref="I31:J31" si="67">B31^2</f>
        <v>718.24</v>
      </c>
      <c r="J31" s="8">
        <f t="shared" si="67"/>
        <v>711.2889</v>
      </c>
      <c r="K31" s="8">
        <f t="shared" si="9"/>
        <v>-1.466666667</v>
      </c>
      <c r="L31" s="8">
        <f t="shared" si="10"/>
        <v>-1.435333333</v>
      </c>
      <c r="M31" s="8">
        <f t="shared" si="11"/>
        <v>2.105155556</v>
      </c>
      <c r="N31" s="8">
        <f t="shared" ref="N31:O31" si="68">K31^2</f>
        <v>2.151111111</v>
      </c>
      <c r="O31" s="8">
        <f t="shared" si="68"/>
        <v>2.060181778</v>
      </c>
    </row>
    <row r="32">
      <c r="A32" s="10"/>
      <c r="B32" s="32">
        <f t="shared" ref="B32:C32" si="69">SUM(B2:B31)</f>
        <v>848</v>
      </c>
      <c r="C32" s="32">
        <f t="shared" si="69"/>
        <v>843.16</v>
      </c>
      <c r="D32" s="10"/>
      <c r="E32" s="10"/>
      <c r="F32" s="10"/>
      <c r="G32" s="10"/>
      <c r="H32" s="32">
        <f t="shared" ref="H32:J32" si="70">SUM(H2:H31)</f>
        <v>23877.184</v>
      </c>
      <c r="I32" s="32">
        <f t="shared" si="70"/>
        <v>24022.4</v>
      </c>
      <c r="J32" s="32">
        <f t="shared" si="70"/>
        <v>23736.3648</v>
      </c>
      <c r="K32" s="10"/>
      <c r="L32" s="10"/>
      <c r="M32" s="8">
        <f t="shared" ref="M32:O32" si="71">SUM(M2:M31)</f>
        <v>43.86133333</v>
      </c>
      <c r="N32" s="8">
        <f t="shared" si="71"/>
        <v>52.26666667</v>
      </c>
      <c r="O32" s="8">
        <f t="shared" si="71"/>
        <v>39.07194667</v>
      </c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>
      <c r="A34" s="2" t="s">
        <v>92</v>
      </c>
      <c r="B34" s="8">
        <f>AVERAGE(E2:E31)</f>
        <v>0.264</v>
      </c>
      <c r="C34" s="2" t="s">
        <v>93</v>
      </c>
      <c r="D34" s="8">
        <f>AVERAGE(B2:B31)</f>
        <v>28.26666667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>
      <c r="A35" s="2" t="s">
        <v>94</v>
      </c>
      <c r="B35" s="15">
        <f>AVERAGE(F2:F31)</f>
        <v>0.00907249467</v>
      </c>
      <c r="C35" s="2" t="s">
        <v>95</v>
      </c>
      <c r="D35" s="8">
        <f>AVERAGE(C2:C31)</f>
        <v>28.10533333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>
      <c r="A36" s="2" t="s">
        <v>96</v>
      </c>
      <c r="B36" s="8">
        <f>AVERAGE(G2:G31)</f>
        <v>0.14656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>
      <c r="A37" s="2" t="s">
        <v>97</v>
      </c>
      <c r="B37" s="8">
        <f>SQRT(B36)</f>
        <v>0.3828315556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>
      <c r="A41" s="2" t="s">
        <v>98</v>
      </c>
      <c r="B41" s="8">
        <f>(M32)/SQRT(N32*O32)</f>
        <v>0.9705924373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>
      <c r="A42" s="10"/>
      <c r="B42" s="8">
        <f>CORREL(B2:B31,C2:C31)</f>
        <v>0.9705924373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7" max="7" width="17.0"/>
    <col customWidth="1" min="10" max="10" width="18.38"/>
  </cols>
  <sheetData>
    <row r="1">
      <c r="A1" s="4" t="s">
        <v>5</v>
      </c>
      <c r="E1" s="4" t="s">
        <v>17</v>
      </c>
    </row>
    <row r="2">
      <c r="A2" s="6" t="s">
        <v>24</v>
      </c>
      <c r="B2" s="6" t="s">
        <v>31</v>
      </c>
      <c r="C2" s="7"/>
      <c r="E2" s="9" t="s">
        <v>36</v>
      </c>
      <c r="F2" s="9" t="s">
        <v>41</v>
      </c>
      <c r="H2" s="9" t="s">
        <v>44</v>
      </c>
      <c r="I2" s="9" t="s">
        <v>45</v>
      </c>
      <c r="K2" s="9" t="s">
        <v>46</v>
      </c>
      <c r="L2" s="9" t="s">
        <v>47</v>
      </c>
    </row>
    <row r="3">
      <c r="A3" s="4">
        <v>27.81</v>
      </c>
      <c r="B3" s="4">
        <v>67.2</v>
      </c>
      <c r="E3" s="12"/>
      <c r="F3" s="13" t="s">
        <v>24</v>
      </c>
      <c r="G3" s="13" t="s">
        <v>31</v>
      </c>
      <c r="H3" s="12"/>
      <c r="I3" s="13" t="s">
        <v>24</v>
      </c>
      <c r="J3" s="13" t="s">
        <v>31</v>
      </c>
      <c r="K3" s="12"/>
      <c r="L3" s="12"/>
    </row>
    <row r="4">
      <c r="A4" s="4">
        <v>27.93</v>
      </c>
      <c r="B4" s="4">
        <v>67.3</v>
      </c>
      <c r="E4" s="14">
        <v>1.0</v>
      </c>
      <c r="F4" s="14">
        <v>27.81</v>
      </c>
      <c r="G4" s="14">
        <v>67.2</v>
      </c>
      <c r="H4" s="14" t="s">
        <v>48</v>
      </c>
      <c r="I4" s="14">
        <v>27.81</v>
      </c>
      <c r="J4" s="14">
        <v>67.2</v>
      </c>
      <c r="K4" s="14" t="s">
        <v>48</v>
      </c>
      <c r="L4" s="14" t="s">
        <v>49</v>
      </c>
    </row>
    <row r="5">
      <c r="A5" s="4">
        <v>27.65</v>
      </c>
      <c r="B5" s="4">
        <v>67.2</v>
      </c>
      <c r="E5" s="14">
        <v>2.0</v>
      </c>
      <c r="F5" s="14">
        <v>27.93</v>
      </c>
      <c r="G5" s="14">
        <v>67.3</v>
      </c>
      <c r="H5" s="14" t="s">
        <v>48</v>
      </c>
      <c r="I5" s="14">
        <v>27.93</v>
      </c>
      <c r="J5" s="14">
        <v>67.3</v>
      </c>
      <c r="K5" s="14" t="s">
        <v>48</v>
      </c>
      <c r="L5" s="14" t="s">
        <v>49</v>
      </c>
    </row>
    <row r="6">
      <c r="A6" s="4">
        <v>27.54</v>
      </c>
      <c r="B6" s="4">
        <v>67.3</v>
      </c>
      <c r="E6" s="14">
        <v>3.0</v>
      </c>
      <c r="F6" s="14">
        <v>27.65</v>
      </c>
      <c r="G6" s="14">
        <v>67.2</v>
      </c>
      <c r="H6" s="14" t="s">
        <v>48</v>
      </c>
      <c r="I6" s="14">
        <v>27.65</v>
      </c>
      <c r="J6" s="14">
        <v>67.2</v>
      </c>
      <c r="K6" s="14" t="s">
        <v>48</v>
      </c>
      <c r="L6" s="14" t="s">
        <v>49</v>
      </c>
    </row>
    <row r="7">
      <c r="A7" s="4">
        <v>28.04</v>
      </c>
      <c r="B7" s="4">
        <v>67.3</v>
      </c>
      <c r="E7" s="14">
        <v>4.0</v>
      </c>
      <c r="F7" s="14">
        <v>27.54</v>
      </c>
      <c r="G7" s="14">
        <v>67.3</v>
      </c>
      <c r="H7" s="14" t="s">
        <v>48</v>
      </c>
      <c r="I7" s="14">
        <v>27.54</v>
      </c>
      <c r="J7" s="14">
        <v>67.3</v>
      </c>
      <c r="K7" s="14" t="s">
        <v>48</v>
      </c>
      <c r="L7" s="14" t="s">
        <v>49</v>
      </c>
    </row>
    <row r="8">
      <c r="A8" s="4">
        <v>28.14</v>
      </c>
      <c r="B8" s="4">
        <v>67.4</v>
      </c>
      <c r="E8" s="14">
        <v>5.0</v>
      </c>
      <c r="F8" s="14">
        <v>28.04</v>
      </c>
      <c r="G8" s="14">
        <v>67.3</v>
      </c>
      <c r="H8" s="14" t="s">
        <v>48</v>
      </c>
      <c r="I8" s="14">
        <v>28.04</v>
      </c>
      <c r="J8" s="14">
        <v>67.3</v>
      </c>
      <c r="K8" s="14" t="s">
        <v>48</v>
      </c>
      <c r="L8" s="14" t="s">
        <v>49</v>
      </c>
    </row>
    <row r="9">
      <c r="A9" s="4">
        <v>28.26</v>
      </c>
      <c r="B9" s="4">
        <v>67.3</v>
      </c>
      <c r="E9" s="14">
        <v>6.0</v>
      </c>
      <c r="F9" s="14">
        <v>28.14</v>
      </c>
      <c r="G9" s="14">
        <v>67.4</v>
      </c>
      <c r="H9" s="14" t="s">
        <v>48</v>
      </c>
      <c r="I9" s="14">
        <v>28.14</v>
      </c>
      <c r="J9" s="14">
        <v>67.4</v>
      </c>
      <c r="K9" s="14" t="s">
        <v>48</v>
      </c>
      <c r="L9" s="14" t="s">
        <v>49</v>
      </c>
    </row>
    <row r="10">
      <c r="A10" s="4">
        <v>27.98</v>
      </c>
      <c r="B10" s="4">
        <v>67.2</v>
      </c>
      <c r="E10" s="14">
        <v>7.0</v>
      </c>
      <c r="F10" s="14">
        <v>28.26</v>
      </c>
      <c r="G10" s="14">
        <v>67.3</v>
      </c>
      <c r="H10" s="14" t="s">
        <v>48</v>
      </c>
      <c r="I10" s="14">
        <v>28.26</v>
      </c>
      <c r="J10" s="14">
        <v>67.3</v>
      </c>
      <c r="K10" s="14" t="s">
        <v>48</v>
      </c>
      <c r="L10" s="14" t="s">
        <v>49</v>
      </c>
    </row>
    <row r="11">
      <c r="A11" s="4">
        <v>28.32</v>
      </c>
      <c r="B11" s="4">
        <v>67.1</v>
      </c>
      <c r="E11" s="14">
        <v>8.0</v>
      </c>
      <c r="F11" s="14">
        <v>27.98</v>
      </c>
      <c r="G11" s="14">
        <v>67.2</v>
      </c>
      <c r="H11" s="14" t="s">
        <v>48</v>
      </c>
      <c r="I11" s="14">
        <v>27.98</v>
      </c>
      <c r="J11" s="14">
        <v>67.2</v>
      </c>
      <c r="K11" s="14" t="s">
        <v>48</v>
      </c>
      <c r="L11" s="14" t="s">
        <v>49</v>
      </c>
    </row>
    <row r="12">
      <c r="A12" s="4">
        <v>28.11</v>
      </c>
      <c r="B12" s="4">
        <v>67.0</v>
      </c>
      <c r="E12" s="14">
        <v>9.0</v>
      </c>
      <c r="F12" s="14">
        <v>28.32</v>
      </c>
      <c r="G12" s="14">
        <v>67.1</v>
      </c>
      <c r="H12" s="14" t="s">
        <v>48</v>
      </c>
      <c r="I12" s="14">
        <v>28.32</v>
      </c>
      <c r="J12" s="14">
        <v>67.1</v>
      </c>
      <c r="K12" s="14" t="s">
        <v>48</v>
      </c>
      <c r="L12" s="14" t="s">
        <v>49</v>
      </c>
    </row>
    <row r="13">
      <c r="A13" s="4">
        <v>27.84</v>
      </c>
      <c r="B13" s="4">
        <v>67.0</v>
      </c>
      <c r="E13" s="14">
        <v>10.0</v>
      </c>
      <c r="F13" s="14">
        <v>28.11</v>
      </c>
      <c r="G13" s="14">
        <v>67.0</v>
      </c>
      <c r="H13" s="14" t="s">
        <v>48</v>
      </c>
      <c r="I13" s="14">
        <v>28.11</v>
      </c>
      <c r="J13" s="14">
        <v>67.0</v>
      </c>
      <c r="K13" s="14" t="s">
        <v>48</v>
      </c>
      <c r="L13" s="14" t="s">
        <v>49</v>
      </c>
    </row>
    <row r="14">
      <c r="A14" s="4">
        <v>27.75</v>
      </c>
      <c r="B14" s="4">
        <v>67.1</v>
      </c>
      <c r="E14" s="14">
        <v>11.0</v>
      </c>
      <c r="F14" s="14">
        <v>27.84</v>
      </c>
      <c r="G14" s="14">
        <v>67.0</v>
      </c>
      <c r="H14" s="14" t="s">
        <v>48</v>
      </c>
      <c r="I14" s="14">
        <v>27.84</v>
      </c>
      <c r="J14" s="14">
        <v>67.0</v>
      </c>
      <c r="K14" s="14" t="s">
        <v>48</v>
      </c>
      <c r="L14" s="14" t="s">
        <v>49</v>
      </c>
    </row>
    <row r="15">
      <c r="A15" s="4">
        <v>27.59</v>
      </c>
      <c r="B15" s="4">
        <v>66.9</v>
      </c>
      <c r="E15" s="14">
        <v>12.0</v>
      </c>
      <c r="F15" s="14">
        <v>27.75</v>
      </c>
      <c r="G15" s="14">
        <v>67.1</v>
      </c>
      <c r="H15" s="14" t="s">
        <v>48</v>
      </c>
      <c r="I15" s="14">
        <v>27.75</v>
      </c>
      <c r="J15" s="14">
        <v>67.1</v>
      </c>
      <c r="K15" s="14" t="s">
        <v>48</v>
      </c>
      <c r="L15" s="14" t="s">
        <v>49</v>
      </c>
    </row>
    <row r="16">
      <c r="A16" s="4">
        <v>27.44</v>
      </c>
      <c r="B16" s="4">
        <v>67.0</v>
      </c>
      <c r="E16" s="14">
        <v>13.0</v>
      </c>
      <c r="F16" s="14">
        <v>27.59</v>
      </c>
      <c r="G16" s="14">
        <v>66.9</v>
      </c>
      <c r="H16" s="14" t="s">
        <v>48</v>
      </c>
      <c r="I16" s="14">
        <v>27.59</v>
      </c>
      <c r="J16" s="14">
        <v>66.9</v>
      </c>
      <c r="K16" s="14" t="s">
        <v>48</v>
      </c>
      <c r="L16" s="14" t="s">
        <v>49</v>
      </c>
    </row>
    <row r="17">
      <c r="A17" s="4">
        <v>27.51</v>
      </c>
      <c r="B17" s="4">
        <v>66.8</v>
      </c>
      <c r="E17" s="14">
        <v>14.0</v>
      </c>
      <c r="F17" s="14">
        <v>27.44</v>
      </c>
      <c r="G17" s="14">
        <v>67.0</v>
      </c>
      <c r="H17" s="14" t="s">
        <v>48</v>
      </c>
      <c r="I17" s="14">
        <v>27.44</v>
      </c>
      <c r="J17" s="14">
        <v>67.0</v>
      </c>
      <c r="K17" s="14" t="s">
        <v>48</v>
      </c>
      <c r="L17" s="14" t="s">
        <v>49</v>
      </c>
    </row>
    <row r="18">
      <c r="A18" s="4">
        <v>27.62</v>
      </c>
      <c r="B18" s="4">
        <v>66.5</v>
      </c>
      <c r="E18" s="14">
        <v>15.0</v>
      </c>
      <c r="F18" s="14">
        <v>27.51</v>
      </c>
      <c r="G18" s="14">
        <v>66.8</v>
      </c>
      <c r="H18" s="14" t="s">
        <v>48</v>
      </c>
      <c r="I18" s="14">
        <v>27.51</v>
      </c>
      <c r="J18" s="14">
        <v>66.8</v>
      </c>
      <c r="K18" s="14" t="s">
        <v>48</v>
      </c>
      <c r="L18" s="14" t="s">
        <v>49</v>
      </c>
    </row>
    <row r="19">
      <c r="A19" s="4">
        <v>27.74</v>
      </c>
      <c r="B19" s="4">
        <v>66.3</v>
      </c>
      <c r="E19" s="14">
        <v>16.0</v>
      </c>
      <c r="F19" s="14">
        <v>27.62</v>
      </c>
      <c r="G19" s="14">
        <v>66.5</v>
      </c>
      <c r="H19" s="14" t="s">
        <v>48</v>
      </c>
      <c r="I19" s="14">
        <v>27.62</v>
      </c>
      <c r="J19" s="14">
        <v>66.5</v>
      </c>
      <c r="K19" s="14" t="s">
        <v>48</v>
      </c>
      <c r="L19" s="14" t="s">
        <v>49</v>
      </c>
    </row>
    <row r="20">
      <c r="A20" s="4">
        <v>27.92</v>
      </c>
      <c r="B20" s="4">
        <v>66.1</v>
      </c>
      <c r="E20" s="14">
        <v>17.0</v>
      </c>
      <c r="F20" s="14">
        <v>27.74</v>
      </c>
      <c r="G20" s="14">
        <v>66.3</v>
      </c>
      <c r="H20" s="14" t="s">
        <v>48</v>
      </c>
      <c r="I20" s="14">
        <v>27.74</v>
      </c>
      <c r="J20" s="14">
        <v>66.3</v>
      </c>
      <c r="K20" s="14" t="s">
        <v>48</v>
      </c>
      <c r="L20" s="14" t="s">
        <v>49</v>
      </c>
    </row>
    <row r="21">
      <c r="A21" s="4">
        <v>28.01</v>
      </c>
      <c r="B21" s="4">
        <v>65.9</v>
      </c>
      <c r="E21" s="14">
        <v>18.0</v>
      </c>
      <c r="F21" s="14">
        <v>27.92</v>
      </c>
      <c r="G21" s="14">
        <v>66.1</v>
      </c>
      <c r="H21" s="14" t="s">
        <v>48</v>
      </c>
      <c r="I21" s="14">
        <v>27.92</v>
      </c>
      <c r="J21" s="14">
        <v>66.1</v>
      </c>
      <c r="K21" s="14" t="s">
        <v>48</v>
      </c>
      <c r="L21" s="14" t="s">
        <v>49</v>
      </c>
    </row>
    <row r="22">
      <c r="A22" s="4">
        <v>28.17</v>
      </c>
      <c r="B22" s="4">
        <v>66.0</v>
      </c>
      <c r="E22" s="14">
        <v>19.0</v>
      </c>
      <c r="F22" s="14">
        <v>28.01</v>
      </c>
      <c r="G22" s="14">
        <v>65.9</v>
      </c>
      <c r="H22" s="14" t="s">
        <v>48</v>
      </c>
      <c r="I22" s="14">
        <v>28.01</v>
      </c>
      <c r="J22" s="14">
        <v>65.9</v>
      </c>
      <c r="K22" s="14" t="s">
        <v>48</v>
      </c>
      <c r="L22" s="14" t="s">
        <v>49</v>
      </c>
    </row>
    <row r="23">
      <c r="E23" s="14">
        <v>20.0</v>
      </c>
      <c r="F23" s="14">
        <v>28.17</v>
      </c>
      <c r="G23" s="14">
        <v>66.0</v>
      </c>
      <c r="H23" s="14" t="s">
        <v>48</v>
      </c>
      <c r="I23" s="14">
        <v>28.17</v>
      </c>
      <c r="J23" s="14">
        <v>66.0</v>
      </c>
      <c r="K23" s="14" t="s">
        <v>48</v>
      </c>
      <c r="L23" s="14" t="s">
        <v>49</v>
      </c>
    </row>
    <row r="25">
      <c r="E25" s="4" t="s">
        <v>50</v>
      </c>
      <c r="F25" s="16">
        <f>COUNTIF(H4:H23, "Berhasil")</f>
        <v>20</v>
      </c>
    </row>
    <row r="26">
      <c r="E26" s="4" t="s">
        <v>51</v>
      </c>
      <c r="F26" s="16">
        <f>COUNTIF(K4:K23, "Berhasil")</f>
        <v>20</v>
      </c>
    </row>
    <row r="27">
      <c r="E27" s="4" t="s">
        <v>52</v>
      </c>
      <c r="F27" s="16">
        <f>COUNTIF(L4:L23, "Ya")</f>
        <v>20</v>
      </c>
    </row>
    <row r="28">
      <c r="E28" s="4" t="s">
        <v>53</v>
      </c>
      <c r="F28" s="19">
        <f>F25/COUNTA(H4:H23)</f>
        <v>1</v>
      </c>
    </row>
    <row r="29">
      <c r="E29" s="4" t="s">
        <v>54</v>
      </c>
      <c r="F29" s="19">
        <f>F26/COUNTA(K4:K23)</f>
        <v>1</v>
      </c>
    </row>
    <row r="30">
      <c r="E30" s="4" t="s">
        <v>55</v>
      </c>
      <c r="F30" s="19">
        <f>F27/COUNTA(L4:L23)</f>
        <v>1</v>
      </c>
    </row>
  </sheetData>
  <mergeCells count="6">
    <mergeCell ref="E2:E3"/>
    <mergeCell ref="F2:G2"/>
    <mergeCell ref="H2:H3"/>
    <mergeCell ref="I2:J2"/>
    <mergeCell ref="K2:K3"/>
    <mergeCell ref="L2:L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</cols>
  <sheetData>
    <row r="1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</row>
    <row r="2">
      <c r="A2" s="22">
        <v>1.0</v>
      </c>
      <c r="B2" s="11">
        <v>0.9083333333333333</v>
      </c>
      <c r="C2" s="23">
        <v>0.9083564814814815</v>
      </c>
      <c r="D2" s="24" t="s">
        <v>72</v>
      </c>
      <c r="E2" s="8">
        <v>2.0</v>
      </c>
    </row>
    <row r="3">
      <c r="A3" s="22">
        <v>2.0</v>
      </c>
      <c r="B3" s="11">
        <v>0.9090277777777778</v>
      </c>
      <c r="C3" s="23">
        <v>0.9090277777777778</v>
      </c>
      <c r="D3" s="24" t="s">
        <v>72</v>
      </c>
      <c r="E3" s="22">
        <v>0.0</v>
      </c>
    </row>
    <row r="4">
      <c r="A4" s="22">
        <v>3.0</v>
      </c>
      <c r="B4" s="11">
        <v>0.9097222222222222</v>
      </c>
      <c r="C4" s="23">
        <v>0.9097222222222222</v>
      </c>
      <c r="D4" s="24" t="s">
        <v>72</v>
      </c>
      <c r="E4" s="8">
        <v>0.0</v>
      </c>
    </row>
    <row r="5">
      <c r="A5" s="22">
        <v>4.0</v>
      </c>
      <c r="B5" s="11">
        <v>0.9104166666666667</v>
      </c>
      <c r="C5" s="23">
        <v>0.9104166666666667</v>
      </c>
      <c r="D5" s="24" t="s">
        <v>72</v>
      </c>
      <c r="E5" s="8">
        <v>0.0</v>
      </c>
    </row>
    <row r="6">
      <c r="A6" s="22">
        <v>5.0</v>
      </c>
      <c r="B6" s="11">
        <v>0.9111111111111111</v>
      </c>
      <c r="C6" s="23">
        <v>0.9111111111111111</v>
      </c>
      <c r="D6" s="24" t="s">
        <v>72</v>
      </c>
      <c r="E6" s="8">
        <v>0.0</v>
      </c>
    </row>
    <row r="7">
      <c r="A7" s="22">
        <v>6.0</v>
      </c>
      <c r="B7" s="11">
        <v>0.9118055555555555</v>
      </c>
      <c r="C7" s="23">
        <v>0.9118055555555555</v>
      </c>
      <c r="D7" s="24" t="s">
        <v>72</v>
      </c>
      <c r="E7" s="8">
        <v>0.0</v>
      </c>
    </row>
    <row r="8">
      <c r="A8" s="8">
        <v>7.0</v>
      </c>
      <c r="B8" s="11">
        <v>0.9125</v>
      </c>
      <c r="C8" s="23">
        <v>0.9125</v>
      </c>
      <c r="D8" s="10" t="s">
        <v>72</v>
      </c>
      <c r="E8" s="8">
        <v>0.0</v>
      </c>
    </row>
    <row r="9">
      <c r="A9" s="8">
        <v>8.0</v>
      </c>
      <c r="B9" s="11">
        <v>0.9131944444444444</v>
      </c>
      <c r="C9" s="23">
        <v>0.9131944444444444</v>
      </c>
      <c r="D9" s="10" t="s">
        <v>72</v>
      </c>
      <c r="E9" s="8">
        <v>0.0</v>
      </c>
    </row>
    <row r="10">
      <c r="A10" s="8">
        <v>9.0</v>
      </c>
      <c r="B10" s="11">
        <v>0.9138888888888889</v>
      </c>
      <c r="C10" s="23">
        <v>0.9138888888888889</v>
      </c>
      <c r="D10" s="10" t="s">
        <v>72</v>
      </c>
      <c r="E10" s="8">
        <v>0.0</v>
      </c>
    </row>
    <row r="11">
      <c r="A11" s="8">
        <v>10.0</v>
      </c>
      <c r="B11" s="11">
        <v>0.9145833333333333</v>
      </c>
      <c r="C11" s="23">
        <v>0.9145833333333333</v>
      </c>
      <c r="D11" s="10" t="s">
        <v>72</v>
      </c>
      <c r="E11" s="8">
        <v>0.0</v>
      </c>
    </row>
    <row r="12">
      <c r="A12" s="8">
        <v>11.0</v>
      </c>
      <c r="B12" s="11">
        <v>0.9152777777777777</v>
      </c>
      <c r="C12" s="23">
        <v>0.9152777777777777</v>
      </c>
      <c r="D12" s="10" t="s">
        <v>72</v>
      </c>
      <c r="E12" s="8">
        <v>0.0</v>
      </c>
    </row>
    <row r="13">
      <c r="A13" s="8">
        <v>12.0</v>
      </c>
      <c r="B13" s="11">
        <v>0.9159722222222222</v>
      </c>
      <c r="C13" s="23">
        <v>0.9159722222222222</v>
      </c>
      <c r="D13" s="10" t="s">
        <v>72</v>
      </c>
      <c r="E13" s="8">
        <v>0.0</v>
      </c>
    </row>
    <row r="14">
      <c r="A14" s="8">
        <v>13.0</v>
      </c>
      <c r="B14" s="11">
        <v>0.9166666666666666</v>
      </c>
      <c r="C14" s="23">
        <v>0.9166666666666666</v>
      </c>
      <c r="D14" s="10" t="s">
        <v>72</v>
      </c>
      <c r="E14" s="8">
        <v>0.0</v>
      </c>
    </row>
    <row r="15">
      <c r="A15" s="8">
        <v>14.0</v>
      </c>
      <c r="B15" s="11">
        <v>0.9173611111111111</v>
      </c>
      <c r="C15" s="23">
        <v>0.9173611111111111</v>
      </c>
      <c r="D15" s="10" t="s">
        <v>72</v>
      </c>
      <c r="E15" s="8">
        <v>0.0</v>
      </c>
    </row>
    <row r="16">
      <c r="A16" s="8">
        <v>15.0</v>
      </c>
      <c r="B16" s="11">
        <v>0.9180555555555555</v>
      </c>
      <c r="C16" s="23">
        <v>0.9180555555555555</v>
      </c>
      <c r="D16" s="10" t="s">
        <v>72</v>
      </c>
      <c r="E16" s="8">
        <v>0.0</v>
      </c>
    </row>
    <row r="17">
      <c r="A17" s="8">
        <v>16.0</v>
      </c>
      <c r="B17" s="11">
        <v>0.91875</v>
      </c>
      <c r="C17" s="23">
        <v>0.91875</v>
      </c>
      <c r="D17" s="10" t="s">
        <v>72</v>
      </c>
      <c r="E17" s="8">
        <v>0.0</v>
      </c>
    </row>
    <row r="18">
      <c r="A18" s="10"/>
      <c r="B18" s="10"/>
      <c r="C18" s="10"/>
      <c r="D18" s="10"/>
      <c r="E18" s="10"/>
    </row>
    <row r="19">
      <c r="A19" s="2" t="s">
        <v>75</v>
      </c>
      <c r="B19" s="8">
        <f>COUNTIF(D2:D17,"Success") </f>
        <v>16</v>
      </c>
      <c r="C19" s="10"/>
      <c r="D19" s="10"/>
      <c r="E19" s="10"/>
    </row>
    <row r="20">
      <c r="A20" s="2" t="s">
        <v>76</v>
      </c>
      <c r="B20" s="8">
        <f>COUNTIF(D2:D17,"Fail") </f>
        <v>0</v>
      </c>
      <c r="C20" s="10"/>
      <c r="D20" s="10"/>
      <c r="E20" s="10"/>
    </row>
    <row r="21">
      <c r="A21" s="2" t="s">
        <v>77</v>
      </c>
      <c r="B21" s="15">
        <f>B19/COUNTA(D2:D17)</f>
        <v>1</v>
      </c>
      <c r="C21" s="10"/>
      <c r="D21" s="10"/>
      <c r="E21" s="10"/>
    </row>
    <row r="23">
      <c r="A23" s="25" t="s">
        <v>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2.38"/>
    <col customWidth="1" min="3" max="3" width="8.13"/>
    <col customWidth="1" min="4" max="4" width="11.13"/>
    <col customWidth="1" min="5" max="5" width="12.5"/>
  </cols>
  <sheetData>
    <row r="1">
      <c r="A1" s="26" t="s">
        <v>79</v>
      </c>
      <c r="E1" s="4" t="s">
        <v>80</v>
      </c>
      <c r="I1" s="4" t="s">
        <v>81</v>
      </c>
    </row>
    <row r="2">
      <c r="A2" s="27" t="s">
        <v>82</v>
      </c>
      <c r="B2" s="27" t="s">
        <v>83</v>
      </c>
      <c r="C2" s="28" t="s">
        <v>47</v>
      </c>
      <c r="E2" s="27" t="s">
        <v>82</v>
      </c>
      <c r="F2" s="27" t="s">
        <v>84</v>
      </c>
      <c r="G2" s="28" t="s">
        <v>47</v>
      </c>
      <c r="I2" s="27" t="s">
        <v>85</v>
      </c>
      <c r="J2" s="27" t="s">
        <v>86</v>
      </c>
      <c r="K2" s="28" t="s">
        <v>47</v>
      </c>
    </row>
    <row r="3">
      <c r="A3" s="26">
        <v>27.28</v>
      </c>
      <c r="B3" s="14" t="s">
        <v>87</v>
      </c>
      <c r="C3" s="4" t="s">
        <v>49</v>
      </c>
      <c r="E3" s="26">
        <v>26.31</v>
      </c>
      <c r="F3" s="14" t="s">
        <v>87</v>
      </c>
      <c r="G3" s="4" t="s">
        <v>49</v>
      </c>
      <c r="I3" s="26">
        <v>55.76</v>
      </c>
      <c r="J3" s="14" t="s">
        <v>87</v>
      </c>
      <c r="K3" s="4" t="s">
        <v>49</v>
      </c>
    </row>
    <row r="4">
      <c r="A4" s="26">
        <v>27.71</v>
      </c>
      <c r="B4" s="14" t="s">
        <v>87</v>
      </c>
      <c r="C4" s="4" t="s">
        <v>49</v>
      </c>
      <c r="E4" s="26">
        <v>26.1</v>
      </c>
      <c r="F4" s="14" t="s">
        <v>87</v>
      </c>
      <c r="G4" s="4" t="s">
        <v>49</v>
      </c>
      <c r="I4" s="26">
        <v>57.18</v>
      </c>
      <c r="J4" s="14" t="s">
        <v>87</v>
      </c>
      <c r="K4" s="4" t="s">
        <v>49</v>
      </c>
    </row>
    <row r="5">
      <c r="A5" s="26">
        <v>28.55</v>
      </c>
      <c r="B5" s="14" t="s">
        <v>87</v>
      </c>
      <c r="C5" s="4" t="s">
        <v>49</v>
      </c>
      <c r="E5" s="26">
        <v>25.47</v>
      </c>
      <c r="F5" s="14" t="s">
        <v>87</v>
      </c>
      <c r="G5" s="4" t="s">
        <v>49</v>
      </c>
      <c r="I5" s="26">
        <v>59.33</v>
      </c>
      <c r="J5" s="14" t="s">
        <v>87</v>
      </c>
      <c r="K5" s="4" t="s">
        <v>49</v>
      </c>
    </row>
    <row r="6">
      <c r="A6" s="26">
        <v>29.15</v>
      </c>
      <c r="B6" s="14" t="s">
        <v>87</v>
      </c>
      <c r="C6" s="4" t="s">
        <v>49</v>
      </c>
      <c r="E6" s="26">
        <v>24.43</v>
      </c>
      <c r="F6" s="14" t="s">
        <v>87</v>
      </c>
      <c r="G6" s="4" t="s">
        <v>49</v>
      </c>
      <c r="I6" s="26">
        <v>60.24</v>
      </c>
      <c r="J6" s="14" t="s">
        <v>87</v>
      </c>
      <c r="K6" s="4" t="s">
        <v>49</v>
      </c>
    </row>
    <row r="7">
      <c r="A7" s="26">
        <v>29.83</v>
      </c>
      <c r="B7" s="14" t="s">
        <v>87</v>
      </c>
      <c r="C7" s="4" t="s">
        <v>49</v>
      </c>
      <c r="E7" s="26">
        <v>23.98</v>
      </c>
      <c r="F7" s="14" t="s">
        <v>87</v>
      </c>
      <c r="G7" s="4" t="s">
        <v>49</v>
      </c>
      <c r="I7" s="26">
        <v>62.79</v>
      </c>
      <c r="J7" s="14" t="s">
        <v>87</v>
      </c>
      <c r="K7" s="4" t="s">
        <v>49</v>
      </c>
    </row>
    <row r="8">
      <c r="A8" s="26">
        <v>30.21</v>
      </c>
      <c r="B8" s="14" t="s">
        <v>88</v>
      </c>
      <c r="C8" s="4" t="s">
        <v>49</v>
      </c>
      <c r="E8" s="26">
        <v>23.25</v>
      </c>
      <c r="F8" s="14" t="s">
        <v>87</v>
      </c>
      <c r="G8" s="4" t="s">
        <v>49</v>
      </c>
      <c r="I8" s="26">
        <v>64.37</v>
      </c>
      <c r="J8" s="14" t="s">
        <v>87</v>
      </c>
      <c r="K8" s="4" t="s">
        <v>49</v>
      </c>
    </row>
    <row r="9">
      <c r="A9" s="26">
        <v>30.77</v>
      </c>
      <c r="B9" s="14" t="s">
        <v>88</v>
      </c>
      <c r="C9" s="4" t="s">
        <v>49</v>
      </c>
      <c r="E9" s="26">
        <v>22.79</v>
      </c>
      <c r="F9" s="14" t="s">
        <v>87</v>
      </c>
      <c r="G9" s="4" t="s">
        <v>49</v>
      </c>
      <c r="I9" s="26">
        <v>65.92</v>
      </c>
      <c r="J9" s="14" t="s">
        <v>87</v>
      </c>
      <c r="K9" s="4" t="s">
        <v>49</v>
      </c>
    </row>
    <row r="10">
      <c r="A10" s="26">
        <v>31.24</v>
      </c>
      <c r="B10" s="14" t="s">
        <v>88</v>
      </c>
      <c r="C10" s="4" t="s">
        <v>49</v>
      </c>
      <c r="E10" s="26">
        <v>22.09</v>
      </c>
      <c r="F10" s="14" t="s">
        <v>87</v>
      </c>
      <c r="G10" s="4" t="s">
        <v>49</v>
      </c>
      <c r="I10" s="26">
        <v>66.84</v>
      </c>
      <c r="J10" s="14" t="s">
        <v>87</v>
      </c>
      <c r="K10" s="4" t="s">
        <v>49</v>
      </c>
    </row>
    <row r="11">
      <c r="A11" s="26">
        <v>31.55</v>
      </c>
      <c r="B11" s="14" t="s">
        <v>88</v>
      </c>
      <c r="C11" s="4" t="s">
        <v>49</v>
      </c>
      <c r="E11" s="26">
        <v>21.63</v>
      </c>
      <c r="F11" s="14" t="s">
        <v>87</v>
      </c>
      <c r="G11" s="4" t="s">
        <v>49</v>
      </c>
      <c r="I11" s="26">
        <v>67.39</v>
      </c>
      <c r="J11" s="14" t="s">
        <v>87</v>
      </c>
      <c r="K11" s="4" t="s">
        <v>49</v>
      </c>
    </row>
    <row r="12">
      <c r="A12" s="26">
        <v>31.96</v>
      </c>
      <c r="B12" s="14" t="s">
        <v>88</v>
      </c>
      <c r="C12" s="4" t="s">
        <v>49</v>
      </c>
      <c r="E12" s="26">
        <v>21.21</v>
      </c>
      <c r="F12" s="14" t="s">
        <v>87</v>
      </c>
      <c r="G12" s="4" t="s">
        <v>49</v>
      </c>
      <c r="I12" s="26">
        <v>68.94</v>
      </c>
      <c r="J12" s="14" t="s">
        <v>87</v>
      </c>
      <c r="K12" s="4" t="s">
        <v>49</v>
      </c>
    </row>
    <row r="13">
      <c r="A13" s="26">
        <v>32.28</v>
      </c>
      <c r="B13" s="14" t="s">
        <v>88</v>
      </c>
      <c r="C13" s="4" t="s">
        <v>49</v>
      </c>
      <c r="E13" s="26">
        <v>20.74</v>
      </c>
      <c r="F13" s="14" t="s">
        <v>87</v>
      </c>
      <c r="G13" s="4" t="s">
        <v>49</v>
      </c>
      <c r="I13" s="26">
        <v>70.51</v>
      </c>
      <c r="J13" s="14" t="s">
        <v>87</v>
      </c>
      <c r="K13" s="4" t="s">
        <v>49</v>
      </c>
    </row>
    <row r="14">
      <c r="A14" s="26">
        <v>32.54</v>
      </c>
      <c r="B14" s="14" t="s">
        <v>88</v>
      </c>
      <c r="C14" s="4" t="s">
        <v>49</v>
      </c>
      <c r="E14" s="26">
        <v>20.26</v>
      </c>
      <c r="F14" s="14" t="s">
        <v>87</v>
      </c>
      <c r="G14" s="4" t="s">
        <v>49</v>
      </c>
      <c r="I14" s="26">
        <v>73.71</v>
      </c>
      <c r="J14" s="14" t="s">
        <v>87</v>
      </c>
      <c r="K14" s="4" t="s">
        <v>49</v>
      </c>
    </row>
    <row r="15">
      <c r="A15" s="26">
        <v>32.67</v>
      </c>
      <c r="B15" s="14" t="s">
        <v>88</v>
      </c>
      <c r="C15" s="4" t="s">
        <v>49</v>
      </c>
      <c r="E15" s="26">
        <v>19.96</v>
      </c>
      <c r="F15" s="14" t="s">
        <v>88</v>
      </c>
      <c r="G15" s="4" t="s">
        <v>49</v>
      </c>
      <c r="I15" s="26">
        <v>77.48</v>
      </c>
      <c r="J15" s="14" t="s">
        <v>87</v>
      </c>
      <c r="K15" s="4" t="s">
        <v>49</v>
      </c>
    </row>
    <row r="16">
      <c r="A16" s="26">
        <v>32.71</v>
      </c>
      <c r="B16" s="14" t="s">
        <v>88</v>
      </c>
      <c r="C16" s="4" t="s">
        <v>49</v>
      </c>
      <c r="E16" s="26">
        <v>19.73</v>
      </c>
      <c r="F16" s="14" t="s">
        <v>88</v>
      </c>
      <c r="G16" s="4" t="s">
        <v>49</v>
      </c>
      <c r="I16" s="26">
        <v>79.56</v>
      </c>
      <c r="J16" s="14" t="s">
        <v>87</v>
      </c>
      <c r="K16" s="4" t="s">
        <v>49</v>
      </c>
    </row>
    <row r="17">
      <c r="A17" s="26">
        <v>32.76</v>
      </c>
      <c r="B17" s="14" t="s">
        <v>88</v>
      </c>
      <c r="C17" s="4" t="s">
        <v>49</v>
      </c>
      <c r="E17" s="26">
        <v>19.55</v>
      </c>
      <c r="F17" s="14" t="s">
        <v>88</v>
      </c>
      <c r="G17" s="4" t="s">
        <v>49</v>
      </c>
      <c r="I17" s="26">
        <v>80.87</v>
      </c>
      <c r="J17" s="14" t="s">
        <v>88</v>
      </c>
      <c r="K17" s="4" t="s">
        <v>49</v>
      </c>
    </row>
    <row r="18">
      <c r="A18" s="26">
        <v>32.75</v>
      </c>
      <c r="B18" s="14" t="s">
        <v>88</v>
      </c>
      <c r="C18" s="4" t="s">
        <v>49</v>
      </c>
      <c r="E18" s="26">
        <v>19.02</v>
      </c>
      <c r="F18" s="14" t="s">
        <v>88</v>
      </c>
      <c r="G18" s="4" t="s">
        <v>49</v>
      </c>
      <c r="I18" s="26">
        <v>81.4</v>
      </c>
      <c r="J18" s="14" t="s">
        <v>88</v>
      </c>
      <c r="K18" s="4" t="s">
        <v>49</v>
      </c>
    </row>
    <row r="19">
      <c r="A19" s="26">
        <v>32.84</v>
      </c>
      <c r="B19" s="14" t="s">
        <v>88</v>
      </c>
      <c r="C19" s="4" t="s">
        <v>49</v>
      </c>
      <c r="E19" s="26">
        <v>18.83</v>
      </c>
      <c r="F19" s="14" t="s">
        <v>88</v>
      </c>
      <c r="G19" s="4" t="s">
        <v>49</v>
      </c>
      <c r="I19" s="26">
        <v>79.33</v>
      </c>
      <c r="J19" s="14" t="s">
        <v>87</v>
      </c>
      <c r="K19" s="4" t="s">
        <v>49</v>
      </c>
    </row>
    <row r="20">
      <c r="A20" s="26">
        <v>32.88</v>
      </c>
      <c r="B20" s="14" t="s">
        <v>88</v>
      </c>
      <c r="C20" s="4" t="s">
        <v>49</v>
      </c>
      <c r="E20" s="26">
        <v>18.67</v>
      </c>
      <c r="F20" s="14" t="s">
        <v>88</v>
      </c>
      <c r="G20" s="4" t="s">
        <v>49</v>
      </c>
      <c r="I20" s="26">
        <v>81.44</v>
      </c>
      <c r="J20" s="14" t="s">
        <v>88</v>
      </c>
      <c r="K20" s="4" t="s">
        <v>49</v>
      </c>
    </row>
    <row r="21">
      <c r="A21" s="26">
        <v>33.01</v>
      </c>
      <c r="B21" s="14" t="s">
        <v>88</v>
      </c>
      <c r="C21" s="4" t="s">
        <v>49</v>
      </c>
      <c r="E21" s="26">
        <v>18.93</v>
      </c>
      <c r="F21" s="14" t="s">
        <v>88</v>
      </c>
      <c r="G21" s="4" t="s">
        <v>49</v>
      </c>
      <c r="I21" s="26">
        <v>80.83</v>
      </c>
      <c r="J21" s="14" t="s">
        <v>88</v>
      </c>
      <c r="K21" s="4" t="s">
        <v>49</v>
      </c>
    </row>
    <row r="22">
      <c r="A22" s="29">
        <v>32.92</v>
      </c>
      <c r="B22" s="30" t="s">
        <v>88</v>
      </c>
      <c r="C22" s="4" t="s">
        <v>49</v>
      </c>
      <c r="E22" s="29">
        <v>19.51</v>
      </c>
      <c r="F22" s="30" t="s">
        <v>88</v>
      </c>
      <c r="G22" s="4" t="s">
        <v>49</v>
      </c>
      <c r="I22" s="29">
        <v>80.74</v>
      </c>
      <c r="J22" s="30" t="s">
        <v>88</v>
      </c>
      <c r="K22" s="4" t="s">
        <v>49</v>
      </c>
    </row>
    <row r="23">
      <c r="A23" s="31"/>
    </row>
    <row r="24">
      <c r="A24" s="26" t="s">
        <v>89</v>
      </c>
      <c r="B24" s="16">
        <f>COUNTIF(C3:C22, "Ya")</f>
        <v>20</v>
      </c>
      <c r="E24" s="10" t="s">
        <v>89</v>
      </c>
      <c r="F24" s="8">
        <f>COUNTIF(G3:G22, "Ya")</f>
        <v>20</v>
      </c>
      <c r="I24" s="10" t="s">
        <v>89</v>
      </c>
      <c r="J24" s="8">
        <f>COUNTIF(K3:K22, "Ya")</f>
        <v>20</v>
      </c>
    </row>
    <row r="25">
      <c r="A25" s="26" t="s">
        <v>77</v>
      </c>
      <c r="B25" s="19">
        <f>B24/COUNTA(C3:C22)</f>
        <v>1</v>
      </c>
      <c r="E25" s="26" t="s">
        <v>77</v>
      </c>
      <c r="F25" s="19">
        <f>F24/COUNTA(G3:G22)</f>
        <v>1</v>
      </c>
      <c r="I25" s="26" t="s">
        <v>77</v>
      </c>
      <c r="J25" s="19">
        <f>J24/COUNTA(K3:K22)</f>
        <v>1</v>
      </c>
    </row>
    <row r="26">
      <c r="A26" s="31"/>
    </row>
    <row r="27">
      <c r="A27" s="31"/>
    </row>
    <row r="28">
      <c r="A28" s="31"/>
    </row>
    <row r="29">
      <c r="A29" s="31"/>
    </row>
    <row r="30">
      <c r="A30" s="31"/>
    </row>
    <row r="31">
      <c r="A31" s="31"/>
    </row>
    <row r="32">
      <c r="A32" s="31"/>
    </row>
    <row r="33">
      <c r="A33" s="31"/>
    </row>
    <row r="34">
      <c r="A34" s="31"/>
    </row>
    <row r="35">
      <c r="A35" s="31"/>
    </row>
    <row r="36">
      <c r="A36" s="31"/>
    </row>
    <row r="37">
      <c r="A37" s="31"/>
    </row>
    <row r="38">
      <c r="A38" s="31"/>
    </row>
    <row r="39">
      <c r="A39" s="31"/>
    </row>
    <row r="40">
      <c r="A40" s="31"/>
    </row>
    <row r="41">
      <c r="A41" s="31"/>
    </row>
    <row r="42">
      <c r="A42" s="31"/>
    </row>
    <row r="43">
      <c r="A43" s="31"/>
    </row>
    <row r="44">
      <c r="A44" s="31"/>
    </row>
    <row r="45">
      <c r="A45" s="31"/>
    </row>
    <row r="46">
      <c r="A46" s="31"/>
    </row>
    <row r="47">
      <c r="A47" s="31"/>
    </row>
    <row r="48">
      <c r="A48" s="31"/>
    </row>
    <row r="49">
      <c r="A49" s="31"/>
    </row>
    <row r="50">
      <c r="A50" s="31"/>
    </row>
    <row r="51">
      <c r="A51" s="31"/>
    </row>
    <row r="52">
      <c r="A52" s="31"/>
    </row>
    <row r="53">
      <c r="A53" s="31"/>
    </row>
    <row r="54">
      <c r="A54" s="31"/>
    </row>
    <row r="55">
      <c r="A55" s="31"/>
    </row>
    <row r="56">
      <c r="A56" s="31"/>
    </row>
    <row r="57">
      <c r="A57" s="31"/>
    </row>
    <row r="58">
      <c r="A58" s="31"/>
    </row>
    <row r="59">
      <c r="A59" s="31"/>
    </row>
    <row r="60">
      <c r="A60" s="31"/>
    </row>
    <row r="61">
      <c r="A61" s="31"/>
    </row>
    <row r="62">
      <c r="A62" s="31"/>
    </row>
    <row r="63">
      <c r="A63" s="31"/>
    </row>
    <row r="64">
      <c r="A64" s="31"/>
    </row>
    <row r="65">
      <c r="A65" s="31"/>
    </row>
    <row r="66">
      <c r="A66" s="31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</row>
    <row r="76">
      <c r="A76" s="31"/>
    </row>
    <row r="77">
      <c r="A77" s="31"/>
    </row>
    <row r="78">
      <c r="A78" s="31"/>
    </row>
    <row r="79">
      <c r="A79" s="31"/>
    </row>
    <row r="80">
      <c r="A80" s="31"/>
    </row>
    <row r="81">
      <c r="A81" s="31"/>
    </row>
    <row r="82">
      <c r="A82" s="31"/>
    </row>
    <row r="83">
      <c r="A83" s="31"/>
    </row>
    <row r="84">
      <c r="A84" s="31"/>
    </row>
    <row r="85">
      <c r="A85" s="31"/>
    </row>
    <row r="86">
      <c r="A86" s="31"/>
    </row>
    <row r="87">
      <c r="A87" s="31"/>
    </row>
    <row r="88">
      <c r="A88" s="31"/>
    </row>
    <row r="89">
      <c r="A89" s="31"/>
    </row>
    <row r="90">
      <c r="A90" s="31"/>
    </row>
    <row r="91">
      <c r="A91" s="31"/>
    </row>
    <row r="92">
      <c r="A92" s="31"/>
    </row>
    <row r="93">
      <c r="A93" s="31"/>
    </row>
    <row r="94">
      <c r="A94" s="31"/>
    </row>
    <row r="95">
      <c r="A95" s="31"/>
    </row>
    <row r="96">
      <c r="A96" s="31"/>
    </row>
    <row r="97">
      <c r="A97" s="31"/>
    </row>
    <row r="98">
      <c r="A98" s="31"/>
    </row>
    <row r="99">
      <c r="A99" s="31"/>
    </row>
    <row r="100">
      <c r="A100" s="31"/>
    </row>
    <row r="101">
      <c r="A101" s="31"/>
    </row>
    <row r="102">
      <c r="A102" s="31"/>
    </row>
    <row r="103">
      <c r="A103" s="31"/>
    </row>
    <row r="104">
      <c r="A104" s="31"/>
    </row>
    <row r="105">
      <c r="A105" s="31"/>
    </row>
    <row r="106">
      <c r="A106" s="31"/>
    </row>
    <row r="107">
      <c r="A107" s="31"/>
    </row>
    <row r="108">
      <c r="A108" s="31"/>
    </row>
    <row r="109">
      <c r="A109" s="31"/>
    </row>
    <row r="110">
      <c r="A110" s="31"/>
    </row>
    <row r="111">
      <c r="A111" s="31"/>
    </row>
    <row r="112">
      <c r="A112" s="31"/>
    </row>
    <row r="113">
      <c r="A113" s="31"/>
    </row>
    <row r="114">
      <c r="A114" s="31"/>
    </row>
    <row r="115">
      <c r="A115" s="31"/>
    </row>
    <row r="116">
      <c r="A116" s="31"/>
    </row>
    <row r="117">
      <c r="A117" s="31"/>
    </row>
    <row r="118">
      <c r="A118" s="31"/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  <row r="1000">
      <c r="A1000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90</v>
      </c>
      <c r="B1" s="33" t="s">
        <v>91</v>
      </c>
    </row>
  </sheetData>
  <hyperlinks>
    <hyperlink r:id="rId1" ref="B1"/>
  </hyperlinks>
  <drawing r:id="rId2"/>
</worksheet>
</file>